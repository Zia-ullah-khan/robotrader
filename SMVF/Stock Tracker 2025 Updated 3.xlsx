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Martin Sanchez\Documents\Investment Portfolio\"/>
    </mc:Choice>
  </mc:AlternateContent>
  <xr:revisionPtr revIDLastSave="0" documentId="13_ncr:2001_{52105AD5-9E0B-401E-99CC-77594A94D94B}" xr6:coauthVersionLast="47" xr6:coauthVersionMax="47" xr10:uidLastSave="{00000000-0000-0000-0000-000000000000}"/>
  <bookViews>
    <workbookView xWindow="-120" yWindow="-120" windowWidth="20730" windowHeight="11040" firstSheet="1" activeTab="2" xr2:uid="{46DF48C7-8130-4BC4-B1EF-7821902B4210}"/>
  </bookViews>
  <sheets>
    <sheet name="Performance Dashboard" sheetId="14" r:id="rId1"/>
    <sheet name="Summary Dashboard" sheetId="6" r:id="rId2"/>
    <sheet name="Active Portfolio" sheetId="1" r:id="rId3"/>
    <sheet name="Rebalance Sheet" sheetId="5" r:id="rId4"/>
    <sheet name="Holdings Sheet" sheetId="2" r:id="rId5"/>
    <sheet name="Transaction Sheet" sheetId="3" r:id="rId6"/>
    <sheet name="Stop Loss &amp; Price Alert" sheetId="13" r:id="rId7"/>
    <sheet name="Sector Allocations" sheetId="12" r:id="rId8"/>
    <sheet name="Returns by Sector" sheetId="15" r:id="rId9"/>
    <sheet name="Sectors Numbers" sheetId="11" r:id="rId10"/>
    <sheet name="Sheet1" sheetId="16" r:id="rId11"/>
  </sheets>
  <definedNames>
    <definedName name="_xlnm._FilterDatabase" localSheetId="9" hidden="1">'Sectors Numbers'!$A$2:$A$20</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 r="F101" i="3"/>
  <c r="F100" i="3"/>
  <c r="D101" i="3"/>
  <c r="F98" i="3"/>
  <c r="F99" i="3"/>
  <c r="A20" i="11"/>
  <c r="A21" i="11"/>
  <c r="D21" i="2"/>
  <c r="C17" i="13" s="1"/>
  <c r="J17" i="13" s="1"/>
  <c r="F21" i="1" a="1"/>
  <c r="F21" i="1" s="1"/>
  <c r="E21" i="1" a="1"/>
  <c r="E21" i="1" s="1"/>
  <c r="D21" i="1" a="1"/>
  <c r="D21" i="1" s="1"/>
  <c r="N21" i="2" s="1"/>
  <c r="C21" i="1" a="1"/>
  <c r="C21" i="1" s="1"/>
  <c r="K21" i="2" s="1"/>
  <c r="B21" i="1" a="1"/>
  <c r="B21" i="1" s="1"/>
  <c r="E21" i="2" s="1"/>
  <c r="M22" i="5" s="1"/>
  <c r="D121" i="3"/>
  <c r="C21" i="2" s="1"/>
  <c r="F120" i="3"/>
  <c r="F121" i="3" s="1"/>
  <c r="D20" i="2"/>
  <c r="C16" i="13" s="1"/>
  <c r="J16" i="13" s="1"/>
  <c r="D118" i="3"/>
  <c r="C20" i="2" s="1"/>
  <c r="B15" i="14" s="1"/>
  <c r="F117" i="3"/>
  <c r="F118" i="3" s="1"/>
  <c r="F20" i="1" a="1"/>
  <c r="F20" i="1" s="1"/>
  <c r="E20" i="1" a="1"/>
  <c r="E20" i="1" s="1"/>
  <c r="D20" i="1" a="1"/>
  <c r="D20" i="1" s="1"/>
  <c r="N20" i="2" s="1"/>
  <c r="C20" i="1" a="1"/>
  <c r="C20" i="1" s="1"/>
  <c r="K20" i="2" s="1"/>
  <c r="B20" i="1" a="1"/>
  <c r="B20" i="1" s="1"/>
  <c r="E20" i="2" s="1"/>
  <c r="F47" i="3"/>
  <c r="D48" i="3"/>
  <c r="C18" i="2" s="1"/>
  <c r="B16" i="14" s="1"/>
  <c r="F24" i="3"/>
  <c r="D25" i="3"/>
  <c r="C11" i="2" s="1"/>
  <c r="B5" i="14" s="1"/>
  <c r="B8" i="1" a="1"/>
  <c r="B8" i="1" s="1"/>
  <c r="I8" i="1" s="1"/>
  <c r="A15" i="11"/>
  <c r="D12" i="11" s="1"/>
  <c r="F16" i="3"/>
  <c r="D17" i="3"/>
  <c r="C7" i="2" s="1"/>
  <c r="B7" i="14" s="1"/>
  <c r="F93" i="3"/>
  <c r="D94" i="3"/>
  <c r="C6" i="2" s="1"/>
  <c r="B4" i="14" s="1"/>
  <c r="B16" i="1" a="1"/>
  <c r="B16" i="1" s="1"/>
  <c r="H16" i="1" s="1"/>
  <c r="D106" i="3"/>
  <c r="C14" i="2" s="1"/>
  <c r="B6" i="14" s="1"/>
  <c r="F105" i="3"/>
  <c r="E10" i="13"/>
  <c r="D77" i="3"/>
  <c r="C15" i="2" s="1"/>
  <c r="B9" i="14" s="1"/>
  <c r="F76" i="3"/>
  <c r="F7" i="3"/>
  <c r="D8" i="3"/>
  <c r="C13" i="2" s="1"/>
  <c r="B2" i="14" s="1"/>
  <c r="D86" i="3"/>
  <c r="D65" i="3"/>
  <c r="C3" i="2" s="1"/>
  <c r="B18" i="14" s="1"/>
  <c r="F64" i="3"/>
  <c r="D60" i="3"/>
  <c r="C4" i="2" s="1"/>
  <c r="B13" i="14" s="1"/>
  <c r="F59" i="3"/>
  <c r="D54" i="3"/>
  <c r="C5" i="2" s="1"/>
  <c r="B8" i="14" s="1"/>
  <c r="F53" i="3"/>
  <c r="D41" i="3"/>
  <c r="C17" i="2" s="1"/>
  <c r="B14" i="14" s="1"/>
  <c r="F40" i="3"/>
  <c r="D71" i="3"/>
  <c r="C8" i="2" s="1"/>
  <c r="B12" i="14" s="1"/>
  <c r="F70" i="3"/>
  <c r="D111" i="3"/>
  <c r="C12" i="2" s="1"/>
  <c r="B3" i="14" s="1"/>
  <c r="F110" i="3"/>
  <c r="F92" i="3"/>
  <c r="F52" i="3"/>
  <c r="F6" i="3"/>
  <c r="F23" i="3"/>
  <c r="D19" i="2"/>
  <c r="C15" i="13" s="1"/>
  <c r="J15" i="13" s="1"/>
  <c r="C19" i="2"/>
  <c r="B20" i="14"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F19" i="1" a="1"/>
  <c r="F19" i="1" s="1"/>
  <c r="E19" i="1" a="1"/>
  <c r="E19" i="1" s="1"/>
  <c r="D19" i="1" a="1"/>
  <c r="D19" i="1" s="1"/>
  <c r="N18" i="2" s="1"/>
  <c r="C19" i="1" a="1"/>
  <c r="C19" i="1" s="1"/>
  <c r="K19" i="2" s="1"/>
  <c r="B19" i="1" a="1"/>
  <c r="B19" i="1" s="1"/>
  <c r="E19" i="2" s="1"/>
  <c r="M20" i="5" s="1"/>
  <c r="D115" i="3"/>
  <c r="F114" i="3"/>
  <c r="F24" i="2"/>
  <c r="B1" i="5" s="1"/>
  <c r="F22" i="5" s="1"/>
  <c r="G22" i="5" s="1"/>
  <c r="D35" i="3"/>
  <c r="F85" i="3"/>
  <c r="F34" i="3"/>
  <c r="F29" i="3"/>
  <c r="F91" i="3"/>
  <c r="F46" i="3"/>
  <c r="D30" i="3"/>
  <c r="C9" i="2" s="1"/>
  <c r="B10" i="14" s="1"/>
  <c r="A5" i="11"/>
  <c r="A6" i="11"/>
  <c r="A7" i="11"/>
  <c r="A8" i="11"/>
  <c r="A9" i="11"/>
  <c r="A10" i="11"/>
  <c r="A11" i="11"/>
  <c r="A12" i="11"/>
  <c r="A13" i="11"/>
  <c r="A14" i="11"/>
  <c r="A16" i="11"/>
  <c r="D13" i="11" s="1"/>
  <c r="A17" i="11"/>
  <c r="A18" i="11"/>
  <c r="A19" i="11"/>
  <c r="A4" i="11"/>
  <c r="A3" i="11"/>
  <c r="B11" i="14"/>
  <c r="F90" i="3"/>
  <c r="F45" i="3"/>
  <c r="B3" i="1" a="1"/>
  <c r="B3" i="1" s="1"/>
  <c r="I3" i="1" s="1"/>
  <c r="F58" i="3"/>
  <c r="F75" i="3"/>
  <c r="F22" i="3"/>
  <c r="F39" i="3"/>
  <c r="F109" i="3"/>
  <c r="B5" i="6"/>
  <c r="F69" i="3"/>
  <c r="F84" i="3"/>
  <c r="F104" i="3"/>
  <c r="F97" i="3"/>
  <c r="F89" i="3"/>
  <c r="C10" i="2"/>
  <c r="B17" i="14" s="1"/>
  <c r="F18" i="1" a="1"/>
  <c r="F18" i="1" s="1"/>
  <c r="D18" i="1" a="1"/>
  <c r="D18" i="1" s="1"/>
  <c r="C18" i="1" a="1"/>
  <c r="C18" i="1" s="1"/>
  <c r="B18" i="1" a="1"/>
  <c r="B18" i="1" s="1"/>
  <c r="D6" i="14" s="1"/>
  <c r="F17" i="1" a="1"/>
  <c r="F17" i="1" s="1"/>
  <c r="D17" i="1" a="1"/>
  <c r="D17" i="1" s="1"/>
  <c r="C17" i="1" a="1"/>
  <c r="C17" i="1" s="1"/>
  <c r="B17" i="1" a="1"/>
  <c r="B17" i="1" s="1"/>
  <c r="D17" i="14" s="1"/>
  <c r="F16" i="1" a="1"/>
  <c r="F16" i="1" s="1"/>
  <c r="D16" i="1" a="1"/>
  <c r="D16" i="1" s="1"/>
  <c r="C16" i="1" a="1"/>
  <c r="C16" i="1" s="1"/>
  <c r="F21" i="3"/>
  <c r="F15" i="3"/>
  <c r="F5" i="3"/>
  <c r="B5" i="1" a="1"/>
  <c r="B5" i="1" s="1"/>
  <c r="D7" i="14" s="1"/>
  <c r="F14" i="3"/>
  <c r="F83" i="3"/>
  <c r="D16" i="2"/>
  <c r="H16" i="2" s="1"/>
  <c r="D15" i="2"/>
  <c r="D81" i="3"/>
  <c r="F80" i="3"/>
  <c r="F81" i="3" s="1"/>
  <c r="F74" i="3"/>
  <c r="F68" i="3"/>
  <c r="F63" i="3"/>
  <c r="F57" i="3"/>
  <c r="F51" i="3"/>
  <c r="F44" i="3"/>
  <c r="F38" i="3"/>
  <c r="F15" i="1" a="1"/>
  <c r="F15" i="1" s="1"/>
  <c r="D15" i="1" a="1"/>
  <c r="D15" i="1" s="1"/>
  <c r="C15" i="1" a="1"/>
  <c r="C15" i="1" s="1"/>
  <c r="B15" i="1" a="1"/>
  <c r="B15" i="1" s="1"/>
  <c r="D9" i="14" s="1"/>
  <c r="F14" i="1" a="1"/>
  <c r="F14" i="1" s="1"/>
  <c r="D14" i="1" a="1"/>
  <c r="D14" i="1" s="1"/>
  <c r="N16" i="2" s="1"/>
  <c r="C14" i="1" a="1"/>
  <c r="C14" i="1" s="1"/>
  <c r="K16" i="2" s="1"/>
  <c r="B14" i="1" a="1"/>
  <c r="B14" i="1" s="1"/>
  <c r="E16" i="2" s="1"/>
  <c r="F16" i="2" s="1"/>
  <c r="F13" i="1" a="1"/>
  <c r="F13" i="1" s="1"/>
  <c r="D13" i="1" a="1"/>
  <c r="D13" i="1" s="1"/>
  <c r="C13" i="1" a="1"/>
  <c r="C13" i="1" s="1"/>
  <c r="B13" i="1" a="1"/>
  <c r="B13" i="1" s="1"/>
  <c r="D12" i="14" s="1"/>
  <c r="F12" i="1" a="1"/>
  <c r="F12" i="1" s="1"/>
  <c r="D12" i="1" a="1"/>
  <c r="D12" i="1" s="1"/>
  <c r="C12" i="1" a="1"/>
  <c r="C12" i="1" s="1"/>
  <c r="B12" i="1" a="1"/>
  <c r="B12" i="1" s="1"/>
  <c r="F11" i="1" a="1"/>
  <c r="F11" i="1" s="1"/>
  <c r="D11" i="1" a="1"/>
  <c r="D11" i="1" s="1"/>
  <c r="C11" i="1" a="1"/>
  <c r="C11" i="1" s="1"/>
  <c r="B11" i="1" a="1"/>
  <c r="B11" i="1" s="1"/>
  <c r="D13" i="14" s="1"/>
  <c r="F10" i="1" a="1"/>
  <c r="F10" i="1" s="1"/>
  <c r="D10" i="1" a="1"/>
  <c r="D10" i="1" s="1"/>
  <c r="C10" i="1" a="1"/>
  <c r="C10" i="1" s="1"/>
  <c r="B10" i="1" a="1"/>
  <c r="B10" i="1" s="1"/>
  <c r="H10" i="1" s="1"/>
  <c r="F9" i="1" a="1"/>
  <c r="F9" i="1" s="1"/>
  <c r="D9" i="1" a="1"/>
  <c r="D9" i="1" s="1"/>
  <c r="C9" i="1" a="1"/>
  <c r="C9" i="1" s="1"/>
  <c r="K18" i="2" s="1"/>
  <c r="B9" i="1" a="1"/>
  <c r="B9" i="1" s="1"/>
  <c r="J9" i="1" s="1"/>
  <c r="B2" i="6"/>
  <c r="B16" i="6"/>
  <c r="C1" i="2"/>
  <c r="F8" i="1" a="1"/>
  <c r="F8" i="1" s="1"/>
  <c r="D8" i="1" a="1"/>
  <c r="D8" i="1" s="1"/>
  <c r="C8" i="1" a="1"/>
  <c r="C8" i="1" s="1"/>
  <c r="K12" i="2" s="1"/>
  <c r="B7" i="1" a="1"/>
  <c r="B7" i="1" s="1"/>
  <c r="D14" i="14" s="1"/>
  <c r="F37" i="3"/>
  <c r="F7" i="1" a="1"/>
  <c r="F7" i="1" s="1"/>
  <c r="D7" i="1" a="1"/>
  <c r="D7" i="1" s="1"/>
  <c r="C7" i="1" a="1"/>
  <c r="C7" i="1" s="1"/>
  <c r="J7" i="1" s="1"/>
  <c r="B6" i="1" a="1"/>
  <c r="B6" i="1" s="1"/>
  <c r="H6" i="1" s="1"/>
  <c r="C6" i="1" a="1"/>
  <c r="C6" i="1" s="1"/>
  <c r="K9" i="2" s="1"/>
  <c r="F33" i="3"/>
  <c r="F6" i="1" a="1"/>
  <c r="F6" i="1" s="1"/>
  <c r="D6" i="1" a="1"/>
  <c r="D6" i="1" s="1"/>
  <c r="F28" i="3"/>
  <c r="F20" i="3"/>
  <c r="F13" i="3"/>
  <c r="F5" i="1" a="1"/>
  <c r="F5" i="1" s="1"/>
  <c r="D5" i="1" a="1"/>
  <c r="D5" i="1" s="1"/>
  <c r="N7" i="2" s="1"/>
  <c r="C5" i="1" a="1"/>
  <c r="C5" i="1" s="1"/>
  <c r="K7" i="2" s="1"/>
  <c r="F12" i="3"/>
  <c r="F11" i="3"/>
  <c r="F4" i="3"/>
  <c r="F3" i="3"/>
  <c r="F2" i="3"/>
  <c r="B4" i="1" a="1"/>
  <c r="B4" i="1" s="1"/>
  <c r="E13" i="2" s="1"/>
  <c r="M14" i="5" s="1"/>
  <c r="F4" i="1" a="1"/>
  <c r="F4" i="1" s="1"/>
  <c r="D4" i="1" a="1"/>
  <c r="D4" i="1" s="1"/>
  <c r="C4" i="1" a="1"/>
  <c r="C4" i="1" s="1"/>
  <c r="F3" i="1" a="1"/>
  <c r="F3" i="1" s="1"/>
  <c r="D3" i="1" a="1"/>
  <c r="D3" i="1" s="1"/>
  <c r="C3" i="1" a="1"/>
  <c r="C3" i="1" s="1"/>
  <c r="I15" i="1" l="1"/>
  <c r="F21" i="5"/>
  <c r="G21" i="5" s="1"/>
  <c r="D102" i="3"/>
  <c r="D10" i="2" s="1"/>
  <c r="C17" i="14" s="1"/>
  <c r="E17" i="14" s="1"/>
  <c r="B19" i="14"/>
  <c r="H21" i="2"/>
  <c r="F25" i="3"/>
  <c r="D26" i="3" s="1"/>
  <c r="D11" i="2" s="1"/>
  <c r="C14" i="13" s="1"/>
  <c r="J14" i="13" s="1"/>
  <c r="F13" i="11"/>
  <c r="C19" i="14"/>
  <c r="C15" i="14"/>
  <c r="E15" i="14" s="1"/>
  <c r="F48" i="3"/>
  <c r="D49" i="3" s="1"/>
  <c r="D18" i="2" s="1"/>
  <c r="F20" i="2"/>
  <c r="H21" i="5" s="1"/>
  <c r="H20" i="1"/>
  <c r="J21" i="1"/>
  <c r="G20" i="1"/>
  <c r="I20" i="1"/>
  <c r="I21" i="1"/>
  <c r="G21" i="1"/>
  <c r="H21" i="1"/>
  <c r="I14" i="1"/>
  <c r="D15" i="14"/>
  <c r="F15" i="14" s="1"/>
  <c r="D19" i="14"/>
  <c r="F19" i="14" s="1"/>
  <c r="H11" i="1"/>
  <c r="H20" i="2"/>
  <c r="M21" i="5"/>
  <c r="L21" i="2"/>
  <c r="M21" i="2" s="1"/>
  <c r="F21" i="2"/>
  <c r="B16" i="13"/>
  <c r="B17" i="13"/>
  <c r="L20" i="2"/>
  <c r="M20" i="2" s="1"/>
  <c r="F106" i="3"/>
  <c r="D107" i="3" s="1"/>
  <c r="D14" i="2" s="1"/>
  <c r="C6" i="14" s="1"/>
  <c r="E6" i="14" s="1"/>
  <c r="F17" i="3"/>
  <c r="D18" i="3" s="1"/>
  <c r="D7" i="2" s="1"/>
  <c r="C6" i="13" s="1"/>
  <c r="J6" i="13" s="1"/>
  <c r="F94" i="3"/>
  <c r="D95" i="3" s="1"/>
  <c r="D6" i="2" s="1"/>
  <c r="H8" i="1"/>
  <c r="G7" i="1"/>
  <c r="F77" i="3"/>
  <c r="D78" i="3" s="1"/>
  <c r="H17" i="1"/>
  <c r="J16" i="1"/>
  <c r="I16" i="1"/>
  <c r="G16" i="1"/>
  <c r="G14" i="1"/>
  <c r="H14" i="1"/>
  <c r="F8" i="3"/>
  <c r="D9" i="3" s="1"/>
  <c r="D13" i="2" s="1"/>
  <c r="H19" i="1"/>
  <c r="J15" i="1"/>
  <c r="H15" i="1"/>
  <c r="G15" i="1"/>
  <c r="H15" i="2"/>
  <c r="F12" i="11" s="1"/>
  <c r="J13" i="1"/>
  <c r="H13" i="1"/>
  <c r="I13" i="1"/>
  <c r="K13" i="1"/>
  <c r="G11" i="1"/>
  <c r="I11" i="1"/>
  <c r="J10" i="1"/>
  <c r="I9" i="1"/>
  <c r="H9" i="1"/>
  <c r="J8" i="1"/>
  <c r="G8" i="1"/>
  <c r="H7" i="1"/>
  <c r="K7" i="1"/>
  <c r="I7" i="1"/>
  <c r="I6" i="1"/>
  <c r="J6" i="1"/>
  <c r="G6" i="1"/>
  <c r="G3" i="1"/>
  <c r="H3" i="1"/>
  <c r="J3" i="1"/>
  <c r="J5" i="1"/>
  <c r="H5" i="1"/>
  <c r="G5" i="1"/>
  <c r="B6" i="13"/>
  <c r="J4" i="1"/>
  <c r="H4" i="1"/>
  <c r="I4" i="1"/>
  <c r="G4" i="1"/>
  <c r="C11" i="13"/>
  <c r="J11" i="13" s="1"/>
  <c r="C7" i="13"/>
  <c r="J7" i="13" s="1"/>
  <c r="C19" i="13"/>
  <c r="J19" i="13" s="1"/>
  <c r="F54" i="3"/>
  <c r="D55" i="3" s="1"/>
  <c r="D5" i="2" s="1"/>
  <c r="B2" i="13"/>
  <c r="F65" i="3"/>
  <c r="D66" i="3" s="1"/>
  <c r="D3" i="2" s="1"/>
  <c r="H3" i="2" s="1"/>
  <c r="F60" i="3"/>
  <c r="D61" i="3" s="1"/>
  <c r="D4" i="2" s="1"/>
  <c r="F41" i="3"/>
  <c r="D42" i="3" s="1"/>
  <c r="F71" i="3"/>
  <c r="D72" i="3" s="1"/>
  <c r="D8" i="2" s="1"/>
  <c r="F111" i="3"/>
  <c r="D112" i="3" s="1"/>
  <c r="D12" i="2" s="1"/>
  <c r="B9" i="13"/>
  <c r="F17" i="14"/>
  <c r="G16" i="2"/>
  <c r="B17" i="5" s="1"/>
  <c r="B5" i="13"/>
  <c r="F35" i="3"/>
  <c r="F30" i="3"/>
  <c r="D31" i="3" s="1"/>
  <c r="D9" i="2" s="1"/>
  <c r="F86" i="3"/>
  <c r="D87" i="3" s="1"/>
  <c r="F11" i="5"/>
  <c r="G11" i="5" s="1"/>
  <c r="F20" i="5"/>
  <c r="F5" i="5"/>
  <c r="F17" i="5"/>
  <c r="G17" i="5" s="1"/>
  <c r="F8" i="5"/>
  <c r="G8" i="5" s="1"/>
  <c r="F7" i="5"/>
  <c r="F4" i="5"/>
  <c r="F10" i="5"/>
  <c r="F13" i="5"/>
  <c r="G13" i="5" s="1"/>
  <c r="F15" i="5"/>
  <c r="F19" i="5"/>
  <c r="F9" i="5"/>
  <c r="F18" i="5"/>
  <c r="F6" i="5"/>
  <c r="F16" i="5"/>
  <c r="F14" i="5"/>
  <c r="G14" i="5" s="1"/>
  <c r="F12" i="5"/>
  <c r="G12" i="5" s="1"/>
  <c r="G19" i="1"/>
  <c r="I19" i="1"/>
  <c r="B19" i="13"/>
  <c r="B11" i="13"/>
  <c r="B7" i="13"/>
  <c r="B15" i="13"/>
  <c r="K15" i="13" s="1"/>
  <c r="H19" i="2"/>
  <c r="F11" i="11" s="1"/>
  <c r="C20" i="14"/>
  <c r="E20" i="14" s="1"/>
  <c r="D20" i="14"/>
  <c r="F20" i="14" s="1"/>
  <c r="L19" i="2"/>
  <c r="M19" i="2" s="1"/>
  <c r="F19" i="2"/>
  <c r="B19" i="11" s="1"/>
  <c r="E11" i="11" s="1"/>
  <c r="B8" i="13"/>
  <c r="M17" i="5"/>
  <c r="H17" i="5"/>
  <c r="C9" i="14"/>
  <c r="E9" i="14" s="1"/>
  <c r="C11" i="14"/>
  <c r="D8" i="14"/>
  <c r="D11" i="14"/>
  <c r="F11" i="14" s="1"/>
  <c r="D16" i="14"/>
  <c r="D10" i="14"/>
  <c r="D2" i="14"/>
  <c r="F2" i="14" s="1"/>
  <c r="D5" i="14"/>
  <c r="D3" i="14"/>
  <c r="N13" i="2"/>
  <c r="N12" i="2"/>
  <c r="N6" i="2"/>
  <c r="K10" i="2"/>
  <c r="E14" i="2"/>
  <c r="K11" i="2"/>
  <c r="N9" i="2"/>
  <c r="K17" i="2"/>
  <c r="E17" i="2"/>
  <c r="E4" i="2"/>
  <c r="E7" i="2"/>
  <c r="K5" i="2"/>
  <c r="N8" i="2"/>
  <c r="K15" i="2"/>
  <c r="N10" i="2"/>
  <c r="K14" i="2"/>
  <c r="N11" i="2"/>
  <c r="N17" i="2"/>
  <c r="N5" i="2"/>
  <c r="K4" i="2"/>
  <c r="E3" i="2"/>
  <c r="N15" i="2"/>
  <c r="E6" i="2"/>
  <c r="M7" i="5" s="1"/>
  <c r="N14" i="2"/>
  <c r="N4" i="2"/>
  <c r="K3" i="2"/>
  <c r="E8" i="2"/>
  <c r="K6" i="2"/>
  <c r="E10" i="2"/>
  <c r="M11" i="5" s="1"/>
  <c r="N3" i="2"/>
  <c r="K8" i="2"/>
  <c r="E15" i="2"/>
  <c r="M16" i="5" s="1"/>
  <c r="D18" i="14"/>
  <c r="F18" i="14" s="1"/>
  <c r="D4" i="14"/>
  <c r="B4" i="13"/>
  <c r="B18" i="13"/>
  <c r="B21" i="14"/>
  <c r="F14" i="14"/>
  <c r="F6" i="14"/>
  <c r="B13" i="13"/>
  <c r="B12" i="13"/>
  <c r="B3" i="13"/>
  <c r="E12" i="2"/>
  <c r="M13" i="5" s="1"/>
  <c r="D14" i="13"/>
  <c r="E14" i="13" s="1"/>
  <c r="B14" i="13"/>
  <c r="B10" i="13"/>
  <c r="G18" i="1"/>
  <c r="I18" i="1"/>
  <c r="H18" i="1"/>
  <c r="G17" i="1"/>
  <c r="G13" i="1"/>
  <c r="G12" i="1"/>
  <c r="G10" i="1"/>
  <c r="H12" i="1"/>
  <c r="I12" i="1"/>
  <c r="L16" i="2"/>
  <c r="M16" i="2" s="1"/>
  <c r="I16" i="2"/>
  <c r="J16" i="2" s="1"/>
  <c r="E18" i="2"/>
  <c r="M19" i="5" s="1"/>
  <c r="E5" i="2"/>
  <c r="M6" i="5" s="1"/>
  <c r="G9" i="1"/>
  <c r="E9" i="2"/>
  <c r="M10" i="5" s="1"/>
  <c r="F13" i="2"/>
  <c r="G13" i="2" s="1"/>
  <c r="K13" i="2"/>
  <c r="L13" i="2" s="1"/>
  <c r="M13" i="2" s="1"/>
  <c r="E11" i="2"/>
  <c r="M12" i="5" s="1"/>
  <c r="H10" i="2" l="1"/>
  <c r="I21" i="5"/>
  <c r="N21" i="5" s="1"/>
  <c r="I20" i="2"/>
  <c r="J20" i="2" s="1"/>
  <c r="G20" i="2"/>
  <c r="B21" i="5" s="1"/>
  <c r="E21" i="5" s="1"/>
  <c r="B20" i="11"/>
  <c r="H14" i="2"/>
  <c r="F5" i="11" s="1"/>
  <c r="C5" i="13"/>
  <c r="J5" i="13" s="1"/>
  <c r="E19" i="14"/>
  <c r="G19" i="14" s="1"/>
  <c r="I21" i="2"/>
  <c r="J21" i="2" s="1"/>
  <c r="B21" i="11"/>
  <c r="H15" i="14"/>
  <c r="G15" i="14"/>
  <c r="K17" i="13"/>
  <c r="K16" i="13"/>
  <c r="L16" i="13"/>
  <c r="G21" i="2"/>
  <c r="B22" i="5" s="1"/>
  <c r="H22" i="5"/>
  <c r="I22" i="5" s="1"/>
  <c r="L17" i="13"/>
  <c r="D16" i="13"/>
  <c r="E16" i="13" s="1"/>
  <c r="F16" i="13" s="1"/>
  <c r="D17" i="13"/>
  <c r="E17" i="13" s="1"/>
  <c r="F17" i="13" s="1"/>
  <c r="K6" i="13"/>
  <c r="L6" i="13"/>
  <c r="D6" i="13"/>
  <c r="E6" i="13" s="1"/>
  <c r="F6" i="13" s="1"/>
  <c r="K7" i="13"/>
  <c r="K11" i="13"/>
  <c r="C4" i="14"/>
  <c r="C4" i="13"/>
  <c r="C2" i="14"/>
  <c r="E2" i="14" s="1"/>
  <c r="G2" i="14" s="1"/>
  <c r="C2" i="13"/>
  <c r="K19" i="13"/>
  <c r="C16" i="14"/>
  <c r="E16" i="14" s="1"/>
  <c r="C18" i="13"/>
  <c r="K5" i="13"/>
  <c r="C10" i="14"/>
  <c r="E10" i="14" s="1"/>
  <c r="C8" i="13"/>
  <c r="C3" i="14"/>
  <c r="E3" i="14" s="1"/>
  <c r="C3" i="13"/>
  <c r="C12" i="14"/>
  <c r="E12" i="14" s="1"/>
  <c r="C10" i="13"/>
  <c r="K14" i="13"/>
  <c r="H5" i="2"/>
  <c r="C9" i="13"/>
  <c r="C18" i="14"/>
  <c r="E18" i="14" s="1"/>
  <c r="G18" i="14" s="1"/>
  <c r="C13" i="14"/>
  <c r="E13" i="14" s="1"/>
  <c r="C13" i="13"/>
  <c r="D3" i="13"/>
  <c r="E3" i="13" s="1"/>
  <c r="L15" i="13"/>
  <c r="L5" i="13"/>
  <c r="L14" i="13"/>
  <c r="L7" i="13"/>
  <c r="L11" i="13"/>
  <c r="L19" i="13"/>
  <c r="H12" i="2"/>
  <c r="D5" i="13"/>
  <c r="E5" i="13" s="1"/>
  <c r="F5" i="13" s="1"/>
  <c r="C8" i="14"/>
  <c r="E8" i="14" s="1"/>
  <c r="H20" i="14"/>
  <c r="D19" i="13"/>
  <c r="D9" i="13"/>
  <c r="E9" i="13" s="1"/>
  <c r="D11" i="13"/>
  <c r="E11" i="13" s="1"/>
  <c r="D7" i="13"/>
  <c r="D15" i="13"/>
  <c r="G20" i="14"/>
  <c r="G19" i="2"/>
  <c r="B20" i="5" s="1"/>
  <c r="H20" i="5"/>
  <c r="B14" i="5"/>
  <c r="I19" i="2"/>
  <c r="J19" i="2" s="1"/>
  <c r="H9" i="2"/>
  <c r="F9" i="11" s="1"/>
  <c r="D2" i="13"/>
  <c r="E2" i="13" s="1"/>
  <c r="L8" i="2"/>
  <c r="M8" i="2" s="1"/>
  <c r="H6" i="2"/>
  <c r="D8" i="13"/>
  <c r="E8" i="13" s="1"/>
  <c r="F8" i="2"/>
  <c r="G8" i="2" s="1"/>
  <c r="B9" i="5" s="1"/>
  <c r="C9" i="5" s="1"/>
  <c r="G9" i="5" s="1"/>
  <c r="M9" i="5"/>
  <c r="F4" i="2"/>
  <c r="M5" i="5"/>
  <c r="F3" i="2"/>
  <c r="M4" i="5"/>
  <c r="F7" i="2"/>
  <c r="M8" i="5"/>
  <c r="F17" i="2"/>
  <c r="G17" i="2" s="1"/>
  <c r="B18" i="5" s="1"/>
  <c r="C18" i="5" s="1"/>
  <c r="G18" i="5" s="1"/>
  <c r="M18" i="5"/>
  <c r="F14" i="2"/>
  <c r="B14" i="11" s="1"/>
  <c r="E5" i="11" s="1"/>
  <c r="M15" i="5"/>
  <c r="H14" i="5"/>
  <c r="I14" i="5" s="1"/>
  <c r="C7" i="14"/>
  <c r="E7" i="14" s="1"/>
  <c r="C5" i="14"/>
  <c r="L14" i="2"/>
  <c r="M14" i="2" s="1"/>
  <c r="L17" i="2"/>
  <c r="M17" i="2" s="1"/>
  <c r="L15" i="2"/>
  <c r="M15" i="2" s="1"/>
  <c r="L6" i="2"/>
  <c r="M6" i="2" s="1"/>
  <c r="L4" i="2"/>
  <c r="M4" i="2" s="1"/>
  <c r="L7" i="2"/>
  <c r="M7" i="2" s="1"/>
  <c r="F6" i="2"/>
  <c r="L10" i="2"/>
  <c r="M10" i="2" s="1"/>
  <c r="F10" i="2"/>
  <c r="H11" i="5" s="1"/>
  <c r="I11" i="5" s="1"/>
  <c r="L3" i="2"/>
  <c r="M3" i="2" s="1"/>
  <c r="F5" i="14"/>
  <c r="F15" i="2"/>
  <c r="G15" i="2" s="1"/>
  <c r="B16" i="5" s="1"/>
  <c r="C16" i="5" s="1"/>
  <c r="G16" i="5" s="1"/>
  <c r="F12" i="14"/>
  <c r="I17" i="5"/>
  <c r="N17" i="5" s="1"/>
  <c r="F9" i="14"/>
  <c r="G9" i="14" s="1"/>
  <c r="F4" i="14"/>
  <c r="E11" i="14"/>
  <c r="H11" i="14" s="1"/>
  <c r="F3" i="14"/>
  <c r="H18" i="2"/>
  <c r="F10" i="11" s="1"/>
  <c r="E4" i="14"/>
  <c r="F7" i="14"/>
  <c r="F13" i="14"/>
  <c r="D4" i="13"/>
  <c r="E4" i="13" s="1"/>
  <c r="D18" i="13"/>
  <c r="E18" i="13" s="1"/>
  <c r="H4" i="2"/>
  <c r="H7" i="2"/>
  <c r="H13" i="2"/>
  <c r="H11" i="2"/>
  <c r="F3" i="11" s="1"/>
  <c r="H8" i="2"/>
  <c r="F8" i="11" s="1"/>
  <c r="F10" i="14"/>
  <c r="F16" i="14"/>
  <c r="F8" i="14"/>
  <c r="G6" i="14"/>
  <c r="H6" i="14"/>
  <c r="D13" i="13"/>
  <c r="E13" i="13" s="1"/>
  <c r="G13" i="13" s="1"/>
  <c r="H13" i="13" s="1"/>
  <c r="G10" i="13"/>
  <c r="H10" i="13" s="1"/>
  <c r="G14" i="13"/>
  <c r="H14" i="13" s="1"/>
  <c r="D12" i="13"/>
  <c r="E12" i="13" s="1"/>
  <c r="F12" i="13" s="1"/>
  <c r="L12" i="2"/>
  <c r="M12" i="2" s="1"/>
  <c r="F12" i="2"/>
  <c r="G12" i="2" s="1"/>
  <c r="B13" i="5" s="1"/>
  <c r="F14" i="13"/>
  <c r="F10" i="13"/>
  <c r="L5" i="2"/>
  <c r="M5" i="2" s="1"/>
  <c r="F5" i="2"/>
  <c r="G5" i="2" s="1"/>
  <c r="B6" i="5" s="1"/>
  <c r="C6" i="5" s="1"/>
  <c r="G6" i="5" s="1"/>
  <c r="F18" i="2"/>
  <c r="L18" i="2"/>
  <c r="M18" i="2" s="1"/>
  <c r="D17" i="2"/>
  <c r="C12" i="13" s="1"/>
  <c r="L11" i="2"/>
  <c r="M11" i="2" s="1"/>
  <c r="F11" i="2"/>
  <c r="F9" i="2"/>
  <c r="G9" i="2" s="1"/>
  <c r="B10" i="5" s="1"/>
  <c r="L9" i="2"/>
  <c r="M9" i="2" s="1"/>
  <c r="H19" i="14" l="1"/>
  <c r="E19" i="13"/>
  <c r="G19" i="13" s="1"/>
  <c r="H19" i="13" s="1"/>
  <c r="D21" i="5"/>
  <c r="F4" i="11"/>
  <c r="F6" i="11"/>
  <c r="G16" i="13"/>
  <c r="H16" i="13" s="1"/>
  <c r="G17" i="13"/>
  <c r="H17" i="13" s="1"/>
  <c r="J22" i="5"/>
  <c r="N22" i="5"/>
  <c r="D22" i="5"/>
  <c r="E22" i="5"/>
  <c r="G11" i="13"/>
  <c r="H11" i="13" s="1"/>
  <c r="E7" i="13"/>
  <c r="G7" i="13" s="1"/>
  <c r="H7" i="13" s="1"/>
  <c r="H18" i="14"/>
  <c r="G18" i="13"/>
  <c r="H18" i="13" s="1"/>
  <c r="G6" i="13"/>
  <c r="H6" i="13" s="1"/>
  <c r="J10" i="13"/>
  <c r="K10" i="13" s="1"/>
  <c r="J8" i="13"/>
  <c r="K8" i="13" s="1"/>
  <c r="J4" i="13"/>
  <c r="K4" i="13" s="1"/>
  <c r="J9" i="13"/>
  <c r="K9" i="13" s="1"/>
  <c r="J12" i="13"/>
  <c r="K12" i="13" s="1"/>
  <c r="J13" i="13"/>
  <c r="K13" i="13" s="1"/>
  <c r="J3" i="13"/>
  <c r="K3" i="13" s="1"/>
  <c r="J2" i="13"/>
  <c r="L2" i="13" s="1"/>
  <c r="J18" i="13"/>
  <c r="K18" i="13" s="1"/>
  <c r="G3" i="14"/>
  <c r="H9" i="5"/>
  <c r="I9" i="5" s="1"/>
  <c r="N9" i="5" s="1"/>
  <c r="E15" i="13"/>
  <c r="G15" i="13" s="1"/>
  <c r="H15" i="13" s="1"/>
  <c r="G8" i="13"/>
  <c r="H8" i="13" s="1"/>
  <c r="G9" i="13"/>
  <c r="H9" i="13" s="1"/>
  <c r="F23" i="2"/>
  <c r="G8" i="14"/>
  <c r="G5" i="13"/>
  <c r="H5" i="13" s="1"/>
  <c r="F4" i="13"/>
  <c r="G2" i="13"/>
  <c r="H2" i="13" s="1"/>
  <c r="F9" i="13"/>
  <c r="F11" i="13"/>
  <c r="G4" i="14"/>
  <c r="C20" i="5"/>
  <c r="E20" i="5" s="1"/>
  <c r="J11" i="5"/>
  <c r="N11" i="5"/>
  <c r="G18" i="2"/>
  <c r="B6" i="11"/>
  <c r="G6" i="2"/>
  <c r="H15" i="5"/>
  <c r="G14" i="2"/>
  <c r="B15" i="5" s="1"/>
  <c r="C15" i="5" s="1"/>
  <c r="D15" i="5" s="1"/>
  <c r="H8" i="5"/>
  <c r="G7" i="2"/>
  <c r="B8" i="5" s="1"/>
  <c r="B4" i="11"/>
  <c r="G4" i="2"/>
  <c r="B5" i="5" s="1"/>
  <c r="C5" i="5" s="1"/>
  <c r="G5" i="5" s="1"/>
  <c r="B12" i="11"/>
  <c r="G11" i="2"/>
  <c r="B12" i="5" s="1"/>
  <c r="B3" i="11"/>
  <c r="G3" i="2"/>
  <c r="B10" i="11"/>
  <c r="G10" i="2"/>
  <c r="B11" i="11"/>
  <c r="E3" i="11" s="1"/>
  <c r="B15" i="11"/>
  <c r="E12" i="11" s="1"/>
  <c r="H18" i="5"/>
  <c r="I18" i="5" s="1"/>
  <c r="N18" i="5" s="1"/>
  <c r="B18" i="11"/>
  <c r="H5" i="5"/>
  <c r="B8" i="11"/>
  <c r="E8" i="11" s="1"/>
  <c r="I3" i="2"/>
  <c r="J3" i="2" s="1"/>
  <c r="H4" i="5"/>
  <c r="I7" i="2"/>
  <c r="J7" i="2" s="1"/>
  <c r="B16" i="11"/>
  <c r="E13" i="11" s="1"/>
  <c r="I14" i="2"/>
  <c r="J14" i="2" s="1"/>
  <c r="I4" i="2"/>
  <c r="J4" i="2" s="1"/>
  <c r="B7" i="11"/>
  <c r="G10" i="14"/>
  <c r="H13" i="5"/>
  <c r="B13" i="11"/>
  <c r="H10" i="5"/>
  <c r="B9" i="11"/>
  <c r="E9" i="11" s="1"/>
  <c r="H6" i="5"/>
  <c r="I6" i="5" s="1"/>
  <c r="J6" i="5" s="1"/>
  <c r="B5" i="11"/>
  <c r="H16" i="5"/>
  <c r="I16" i="5" s="1"/>
  <c r="B17" i="11"/>
  <c r="H12" i="5"/>
  <c r="I12" i="5" s="1"/>
  <c r="H19" i="5"/>
  <c r="H7" i="5"/>
  <c r="E5" i="14"/>
  <c r="H5" i="14" s="1"/>
  <c r="C14" i="14"/>
  <c r="E14" i="14" s="1"/>
  <c r="I6" i="2"/>
  <c r="J6" i="2" s="1"/>
  <c r="G11" i="14"/>
  <c r="H16" i="14"/>
  <c r="H12" i="14"/>
  <c r="J17" i="5"/>
  <c r="I10" i="2"/>
  <c r="J10" i="2" s="1"/>
  <c r="G17" i="14"/>
  <c r="H17" i="14"/>
  <c r="I15" i="2"/>
  <c r="J15" i="2" s="1"/>
  <c r="H9" i="14"/>
  <c r="D14" i="5"/>
  <c r="H13" i="14"/>
  <c r="H3" i="14"/>
  <c r="G13" i="14"/>
  <c r="H4" i="14"/>
  <c r="H7" i="14"/>
  <c r="I8" i="2"/>
  <c r="J8" i="2" s="1"/>
  <c r="F18" i="13"/>
  <c r="G7" i="14"/>
  <c r="G12" i="14"/>
  <c r="I13" i="2"/>
  <c r="J13" i="2" s="1"/>
  <c r="H10" i="14"/>
  <c r="H17" i="2"/>
  <c r="F7" i="11" s="1"/>
  <c r="H2" i="14"/>
  <c r="H8" i="14"/>
  <c r="G16" i="14"/>
  <c r="F21" i="14"/>
  <c r="F13" i="13"/>
  <c r="G12" i="13"/>
  <c r="H12" i="13" s="1"/>
  <c r="G3" i="13"/>
  <c r="H3" i="13" s="1"/>
  <c r="F3" i="13"/>
  <c r="I12" i="2"/>
  <c r="J12" i="2" s="1"/>
  <c r="I18" i="2"/>
  <c r="I5" i="2"/>
  <c r="J5" i="2" s="1"/>
  <c r="N14" i="5"/>
  <c r="J14" i="5"/>
  <c r="I9" i="2"/>
  <c r="J9" i="2" s="1"/>
  <c r="I11" i="2"/>
  <c r="F19" i="13" l="1"/>
  <c r="B8" i="6"/>
  <c r="B7" i="6"/>
  <c r="B4" i="5"/>
  <c r="C4" i="5" s="1"/>
  <c r="G4" i="5" s="1"/>
  <c r="H13" i="11"/>
  <c r="I13" i="11" s="1"/>
  <c r="G13" i="11"/>
  <c r="G12" i="11"/>
  <c r="H12" i="11"/>
  <c r="I12" i="11" s="1"/>
  <c r="L10" i="13"/>
  <c r="L12" i="13"/>
  <c r="L18" i="13"/>
  <c r="F7" i="13"/>
  <c r="L3" i="13"/>
  <c r="L4" i="13"/>
  <c r="L8" i="13"/>
  <c r="L9" i="13"/>
  <c r="L13" i="13"/>
  <c r="K2" i="13"/>
  <c r="F15" i="13"/>
  <c r="I4" i="5"/>
  <c r="I5" i="5"/>
  <c r="J5" i="5" s="1"/>
  <c r="F8" i="13"/>
  <c r="G4" i="13"/>
  <c r="H4" i="13" s="1"/>
  <c r="F2" i="13"/>
  <c r="E7" i="11"/>
  <c r="E10" i="11"/>
  <c r="H10" i="11" s="1"/>
  <c r="I10" i="11" s="1"/>
  <c r="E6" i="11"/>
  <c r="E4" i="11"/>
  <c r="H4" i="11" s="1"/>
  <c r="I4" i="11" s="1"/>
  <c r="D20" i="5"/>
  <c r="G20" i="5"/>
  <c r="I20" i="5" s="1"/>
  <c r="B19" i="5"/>
  <c r="C19" i="5" s="1"/>
  <c r="B11" i="5"/>
  <c r="E15" i="5"/>
  <c r="B7" i="5"/>
  <c r="C7" i="5" s="1"/>
  <c r="J18" i="5"/>
  <c r="I17" i="2"/>
  <c r="J17" i="2" s="1"/>
  <c r="G5" i="14"/>
  <c r="E12" i="5"/>
  <c r="E14" i="5"/>
  <c r="J9" i="5"/>
  <c r="H3" i="11"/>
  <c r="I3" i="11" s="1"/>
  <c r="G5" i="11"/>
  <c r="D6" i="5"/>
  <c r="N16" i="5"/>
  <c r="J16" i="5"/>
  <c r="D17" i="5"/>
  <c r="E17" i="5"/>
  <c r="D13" i="5"/>
  <c r="G14" i="14"/>
  <c r="E21" i="14"/>
  <c r="G21" i="14" s="1"/>
  <c r="H14" i="14"/>
  <c r="H21" i="14" s="1"/>
  <c r="G11" i="11"/>
  <c r="J18" i="2"/>
  <c r="E9" i="5"/>
  <c r="N6" i="5"/>
  <c r="G15" i="5"/>
  <c r="I15" i="5" s="1"/>
  <c r="J11" i="2"/>
  <c r="D18" i="5"/>
  <c r="E18" i="5"/>
  <c r="J12" i="5"/>
  <c r="E4" i="5" l="1"/>
  <c r="D4" i="5"/>
  <c r="J4" i="5"/>
  <c r="N5" i="5"/>
  <c r="N4" i="5"/>
  <c r="N20" i="5"/>
  <c r="J20" i="5"/>
  <c r="G19" i="5"/>
  <c r="I19" i="5" s="1"/>
  <c r="J19" i="5" s="1"/>
  <c r="D19" i="5"/>
  <c r="E19" i="5"/>
  <c r="E11" i="5"/>
  <c r="D11" i="5"/>
  <c r="E7" i="5"/>
  <c r="D9" i="5"/>
  <c r="B9" i="6"/>
  <c r="I22" i="2"/>
  <c r="G4" i="11"/>
  <c r="E6" i="5"/>
  <c r="E13" i="5"/>
  <c r="G3" i="11"/>
  <c r="G10" i="11"/>
  <c r="H5" i="11"/>
  <c r="I5" i="11" s="1"/>
  <c r="D16" i="5"/>
  <c r="E16" i="5"/>
  <c r="D5" i="5"/>
  <c r="E5" i="5"/>
  <c r="E8" i="5"/>
  <c r="D8" i="5"/>
  <c r="H11" i="11"/>
  <c r="I11" i="11" s="1"/>
  <c r="G7" i="11"/>
  <c r="H7" i="11"/>
  <c r="I7" i="11" s="1"/>
  <c r="H8" i="11"/>
  <c r="I8" i="11" s="1"/>
  <c r="G8" i="11"/>
  <c r="J15" i="5"/>
  <c r="N15" i="5"/>
  <c r="D12" i="5"/>
  <c r="N12" i="5"/>
  <c r="N19" i="5" l="1"/>
  <c r="D7" i="5"/>
  <c r="G7" i="5"/>
  <c r="I7" i="5" s="1"/>
  <c r="C10" i="5"/>
  <c r="E10" i="5" s="1"/>
  <c r="F22" i="2"/>
  <c r="J7" i="5" l="1"/>
  <c r="N7" i="5"/>
  <c r="G10" i="5"/>
  <c r="I10" i="5" s="1"/>
  <c r="D10" i="5"/>
  <c r="I8" i="5"/>
  <c r="B10" i="6"/>
  <c r="J10" i="5" l="1"/>
  <c r="N10" i="5"/>
  <c r="H9" i="11"/>
  <c r="I9" i="11" s="1"/>
  <c r="G9" i="11"/>
  <c r="I13" i="5"/>
  <c r="J21" i="5" s="1"/>
  <c r="N8" i="5"/>
  <c r="J8" i="5"/>
  <c r="H6" i="11" l="1"/>
  <c r="I6" i="11" s="1"/>
  <c r="G6" i="11"/>
  <c r="J13" i="5"/>
  <c r="N13"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bk>
      <extLst>
        <ext uri="{3e2802c4-a4d2-4d8b-9148-e3be6c30e623}">
          <xlrd:rvb i="47"/>
        </ext>
      </extLst>
    </bk>
    <bk>
      <extLst>
        <ext uri="{3e2802c4-a4d2-4d8b-9148-e3be6c30e623}">
          <xlrd:rvb i="50"/>
        </ext>
      </extLst>
    </bk>
    <bk>
      <extLst>
        <ext uri="{3e2802c4-a4d2-4d8b-9148-e3be6c30e623}">
          <xlrd:rvb i="53"/>
        </ext>
      </extLst>
    </bk>
    <bk>
      <extLst>
        <ext uri="{3e2802c4-a4d2-4d8b-9148-e3be6c30e623}">
          <xlrd:rvb i="56"/>
        </ext>
      </extLst>
    </bk>
  </futureMetadata>
  <cellMetadata count="1">
    <bk>
      <rc t="1" v="0"/>
    </bk>
  </cellMetadata>
  <valueMetadata count="1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valueMetadata>
</metadata>
</file>

<file path=xl/sharedStrings.xml><?xml version="1.0" encoding="utf-8"?>
<sst xmlns="http://schemas.openxmlformats.org/spreadsheetml/2006/main" count="382" uniqueCount="171">
  <si>
    <t>NFLX</t>
  </si>
  <si>
    <t>52 Wk Hgh</t>
  </si>
  <si>
    <t>52 Wk Low</t>
  </si>
  <si>
    <t>Previous Close</t>
  </si>
  <si>
    <t>Price</t>
  </si>
  <si>
    <t>Alert 1</t>
  </si>
  <si>
    <t>Alert 2</t>
  </si>
  <si>
    <t>Alert 3</t>
  </si>
  <si>
    <t>NVDA</t>
  </si>
  <si>
    <t>Ticker</t>
  </si>
  <si>
    <t>Shares</t>
  </si>
  <si>
    <t>Market Value</t>
  </si>
  <si>
    <t>Cost Basis</t>
  </si>
  <si>
    <t>Gain/Loss</t>
  </si>
  <si>
    <t>% Return</t>
  </si>
  <si>
    <t>52W High</t>
  </si>
  <si>
    <t>52W Low</t>
  </si>
  <si>
    <t>Date</t>
  </si>
  <si>
    <t>Price per Share</t>
  </si>
  <si>
    <t>Total Cost</t>
  </si>
  <si>
    <t>Total Summary</t>
  </si>
  <si>
    <t>Total average cost per share</t>
  </si>
  <si>
    <t>GOOG</t>
  </si>
  <si>
    <t>Current Price</t>
  </si>
  <si>
    <t>Entry Price/Avg Share</t>
  </si>
  <si>
    <t>Breakout= Buy</t>
  </si>
  <si>
    <t>Price Dip- Buy</t>
  </si>
  <si>
    <t>Sell</t>
  </si>
  <si>
    <t>JPM</t>
  </si>
  <si>
    <t xml:space="preserve">JPM </t>
  </si>
  <si>
    <t>JP Morgan</t>
  </si>
  <si>
    <t>NetFlix</t>
  </si>
  <si>
    <t>KO</t>
  </si>
  <si>
    <t>Coca Cola</t>
  </si>
  <si>
    <t>Alert 4</t>
  </si>
  <si>
    <t>Company</t>
  </si>
  <si>
    <t>Nvidia</t>
  </si>
  <si>
    <t>Google</t>
  </si>
  <si>
    <t>Netflix</t>
  </si>
  <si>
    <t>Alert 5</t>
  </si>
  <si>
    <t>VXUS</t>
  </si>
  <si>
    <t>N/A</t>
  </si>
  <si>
    <t>Vanguard Int ETF</t>
  </si>
  <si>
    <t>Stock Purchased</t>
  </si>
  <si>
    <t>Stock Not Purchased</t>
  </si>
  <si>
    <t>% from 52W High</t>
  </si>
  <si>
    <t>Breakout      Watch</t>
  </si>
  <si>
    <t>As of</t>
  </si>
  <si>
    <t>Sector</t>
  </si>
  <si>
    <t>Communication Service</t>
  </si>
  <si>
    <t>Technology</t>
  </si>
  <si>
    <t>Financials</t>
  </si>
  <si>
    <t>Consumer Staples</t>
  </si>
  <si>
    <t xml:space="preserve">International ETF </t>
  </si>
  <si>
    <t>Allocatoin %</t>
  </si>
  <si>
    <t xml:space="preserve"> </t>
  </si>
  <si>
    <t>TICKER</t>
  </si>
  <si>
    <t>CURRENT</t>
  </si>
  <si>
    <t>ALLOCATION %</t>
  </si>
  <si>
    <t>TARGET</t>
  </si>
  <si>
    <t>PORTFOLIO</t>
  </si>
  <si>
    <t>VALUE</t>
  </si>
  <si>
    <t>TARGET $</t>
  </si>
  <si>
    <t>AMOUNT</t>
  </si>
  <si>
    <t>CURRENT  $</t>
  </si>
  <si>
    <t>REBALANCE</t>
  </si>
  <si>
    <t>PRICE</t>
  </si>
  <si>
    <t>SHARES</t>
  </si>
  <si>
    <t>BUY/SALE</t>
  </si>
  <si>
    <t>Portfolio Value</t>
  </si>
  <si>
    <t>ACTION</t>
  </si>
  <si>
    <t>Metric</t>
  </si>
  <si>
    <t>Value</t>
  </si>
  <si>
    <t>As of Date</t>
  </si>
  <si>
    <t>Total Portfolio Value</t>
  </si>
  <si>
    <t>Total Cash Available</t>
  </si>
  <si>
    <t>Invested Amount</t>
  </si>
  <si>
    <t>Total Holdings</t>
  </si>
  <si>
    <t>Average Allocation</t>
  </si>
  <si>
    <t>Cash Allocation</t>
  </si>
  <si>
    <t>Total Estimated Annual Dividends</t>
  </si>
  <si>
    <t>Cash Available</t>
  </si>
  <si>
    <t>Other Assets</t>
  </si>
  <si>
    <t>Bonds</t>
  </si>
  <si>
    <t>Crypto</t>
  </si>
  <si>
    <t>Total Other Assets</t>
  </si>
  <si>
    <t>Exxon</t>
  </si>
  <si>
    <t>XOM</t>
  </si>
  <si>
    <t>Catapiller</t>
  </si>
  <si>
    <t>CAT</t>
  </si>
  <si>
    <t>Amazon</t>
  </si>
  <si>
    <t>AMZN</t>
  </si>
  <si>
    <t>APPL</t>
  </si>
  <si>
    <t>Apple Inc</t>
  </si>
  <si>
    <t>Johnson &amp; Johnson</t>
  </si>
  <si>
    <t>JNJ</t>
  </si>
  <si>
    <t>Invesco ETF</t>
  </si>
  <si>
    <t>QQQ</t>
  </si>
  <si>
    <t>SPDR S&amp;P 500 ETF</t>
  </si>
  <si>
    <t>SPY</t>
  </si>
  <si>
    <t>AAPL</t>
  </si>
  <si>
    <t>Energy</t>
  </si>
  <si>
    <t>Industrials</t>
  </si>
  <si>
    <t>Health Care</t>
  </si>
  <si>
    <t>TRANCHE</t>
  </si>
  <si>
    <t>GROUP</t>
  </si>
  <si>
    <t>Trenche 1</t>
  </si>
  <si>
    <t>TRENCH</t>
  </si>
  <si>
    <t>DATE</t>
  </si>
  <si>
    <t>Proctor &amp; Gamble</t>
  </si>
  <si>
    <t>PG</t>
  </si>
  <si>
    <t>Trenche 2</t>
  </si>
  <si>
    <t xml:space="preserve">REMAINING </t>
  </si>
  <si>
    <t>ALLOCATION</t>
  </si>
  <si>
    <t xml:space="preserve">ALLOCATION </t>
  </si>
  <si>
    <t>ALERT</t>
  </si>
  <si>
    <t>FSLR</t>
  </si>
  <si>
    <t>LNG</t>
  </si>
  <si>
    <t>PYPL</t>
  </si>
  <si>
    <t>First Solar</t>
  </si>
  <si>
    <t>Cheniere Energy</t>
  </si>
  <si>
    <t>Financial Technology</t>
  </si>
  <si>
    <t>Highest Price</t>
  </si>
  <si>
    <t>Trailing Stop Price</t>
  </si>
  <si>
    <t>Stop Status</t>
  </si>
  <si>
    <t>Near Stop Alert</t>
  </si>
  <si>
    <t>Nucor Steel Co</t>
  </si>
  <si>
    <t>NUE</t>
  </si>
  <si>
    <t>Materials</t>
  </si>
  <si>
    <t>Shares Bought/Sell</t>
  </si>
  <si>
    <t xml:space="preserve">Top Allocation </t>
  </si>
  <si>
    <t xml:space="preserve">Lowest Allocation </t>
  </si>
  <si>
    <t>Shares Held</t>
  </si>
  <si>
    <t>Entry Price</t>
  </si>
  <si>
    <t>Unrealized Gain/Loss</t>
  </si>
  <si>
    <t>Total</t>
  </si>
  <si>
    <t>Market</t>
  </si>
  <si>
    <t xml:space="preserve"> Value</t>
  </si>
  <si>
    <t xml:space="preserve">Total </t>
  </si>
  <si>
    <t>Cost</t>
  </si>
  <si>
    <t>Gains &amp;</t>
  </si>
  <si>
    <t>Losses</t>
  </si>
  <si>
    <t>%</t>
  </si>
  <si>
    <t>Return</t>
  </si>
  <si>
    <t>Sector &amp;</t>
  </si>
  <si>
    <t>Remarks/Reminders</t>
  </si>
  <si>
    <t>NVDIA</t>
  </si>
  <si>
    <t>Vanguard Grout-Consumer Staple</t>
  </si>
  <si>
    <t>VDC</t>
  </si>
  <si>
    <t>Volume</t>
  </si>
  <si>
    <t>Trench 1</t>
  </si>
  <si>
    <t>Comments</t>
  </si>
  <si>
    <t xml:space="preserve">% to Stop </t>
  </si>
  <si>
    <t>Target Price</t>
  </si>
  <si>
    <t>% to Target</t>
  </si>
  <si>
    <t>Target Status</t>
  </si>
  <si>
    <t>Complete Stop Loss 7/7/25</t>
  </si>
  <si>
    <t>Last Review Date</t>
  </si>
  <si>
    <t>Comments2</t>
  </si>
  <si>
    <t xml:space="preserve">Target met 7/5 to </t>
  </si>
  <si>
    <t>Paypal</t>
  </si>
  <si>
    <t xml:space="preserve"> 7/17/2025</t>
  </si>
  <si>
    <t>Trench 3</t>
  </si>
  <si>
    <t xml:space="preserve">Tech Heavy ETF </t>
  </si>
  <si>
    <t xml:space="preserve">Diversified ETF </t>
  </si>
  <si>
    <t>MA</t>
  </si>
  <si>
    <t>Mastercard Inc</t>
  </si>
  <si>
    <t>Visa Inc</t>
  </si>
  <si>
    <t>V</t>
  </si>
  <si>
    <t>Trench 2</t>
  </si>
  <si>
    <t>Stop loss 7/6/2025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</si>
</sst>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_([$$-409]* #,##0.00_);_([$$-409]* \(#,##0.00\);_([$$-409]* &quot;-&quot;??_);_(@_)"/>
    <numFmt numFmtId="165" formatCode="0.0%"/>
    <numFmt numFmtId="166" formatCode="0.0000"/>
    <numFmt numFmtId="167" formatCode="_-[$$-1009]* #,##0.00_-;\-[$$-1009]* #,##0.00_-;_-[$$-1009]* &quot;-&quot;??_-;_-@_-"/>
    <numFmt numFmtId="168" formatCode="_ [$₹-44D]\ * #,##0.00_ ;_ [$₹-44D]\ * \-#,##0.00_ ;_ [$₹-44D]\ * &quot;-&quot;??_ ;_ @_ "/>
  </numFmts>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11"/>
      <color theme="1"/>
      <name val="Aptos Narrow"/>
      <family val="2"/>
      <scheme val="minor"/>
    </font>
    <font>
      <b/>
      <sz val="11"/>
      <color theme="0"/>
      <name val="Calibri"/>
      <family val="2"/>
    </font>
    <font>
      <sz val="8"/>
      <name val="Aptos Narrow"/>
      <family val="2"/>
      <scheme val="minor"/>
    </font>
  </fonts>
  <fills count="13">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5" tint="0.79998168889431442"/>
        <bgColor indexed="64"/>
      </patternFill>
    </fill>
    <fill>
      <patternFill patternType="solid">
        <fgColor rgb="FF0070C0"/>
        <bgColor rgb="FF1F4E78"/>
      </patternFill>
    </fill>
    <fill>
      <patternFill patternType="solid">
        <fgColor theme="4" tint="0.79998168889431442"/>
        <bgColor indexed="64"/>
      </patternFill>
    </fill>
    <fill>
      <patternFill patternType="solid">
        <fgColor rgb="FF002060"/>
        <bgColor indexed="64"/>
      </patternFill>
    </fill>
    <fill>
      <patternFill patternType="solid">
        <fgColor theme="0"/>
        <bgColor theme="5" tint="0.79998168889431442"/>
      </patternFill>
    </fill>
  </fills>
  <borders count="3">
    <border>
      <left/>
      <right/>
      <top/>
      <bottom/>
      <diagonal/>
    </border>
    <border>
      <left/>
      <right/>
      <top/>
      <bottom style="thin">
        <color auto="1"/>
      </bottom>
      <diagonal/>
    </border>
    <border>
      <left style="thin">
        <color theme="5"/>
      </left>
      <right style="thin">
        <color theme="5"/>
      </right>
      <top style="thin">
        <color theme="5"/>
      </top>
      <bottom style="thin">
        <color theme="5"/>
      </bottom>
      <diagonal/>
    </border>
  </borders>
  <cellStyleXfs count="3">
    <xf numFmtId="0" fontId="0" fillId="0" borderId="0"/>
    <xf numFmtId="9" fontId="4" fillId="0" borderId="0" applyFont="0" applyFill="0" applyBorder="0" applyAlignment="0" applyProtection="0"/>
    <xf numFmtId="44" fontId="4" fillId="0" borderId="0" applyFont="0" applyFill="0" applyBorder="0" applyAlignment="0" applyProtection="0"/>
  </cellStyleXfs>
  <cellXfs count="53">
    <xf numFmtId="0" fontId="0" fillId="0" borderId="0" xfId="0"/>
    <xf numFmtId="164" fontId="0" fillId="0" borderId="0" xfId="0" applyNumberFormat="1"/>
    <xf numFmtId="4" fontId="0" fillId="0" borderId="0" xfId="0" applyNumberFormat="1"/>
    <xf numFmtId="0" fontId="2" fillId="0" borderId="0" xfId="0" applyFont="1"/>
    <xf numFmtId="0" fontId="2" fillId="0" borderId="0" xfId="0" applyFont="1" applyAlignment="1">
      <alignment horizontal="center" vertical="center" wrapText="1"/>
    </xf>
    <xf numFmtId="0" fontId="1" fillId="2" borderId="0" xfId="0" applyFont="1" applyFill="1" applyAlignment="1">
      <alignment horizontal="center" vertical="center" wrapText="1"/>
    </xf>
    <xf numFmtId="2" fontId="0" fillId="0" borderId="0" xfId="0" applyNumberFormat="1"/>
    <xf numFmtId="14" fontId="0" fillId="0" borderId="0" xfId="0" applyNumberFormat="1"/>
    <xf numFmtId="0" fontId="0" fillId="3" borderId="0" xfId="0" applyFill="1"/>
    <xf numFmtId="0" fontId="0" fillId="4" borderId="0" xfId="0" applyFill="1"/>
    <xf numFmtId="0" fontId="3" fillId="5" borderId="0" xfId="0" applyFont="1" applyFill="1"/>
    <xf numFmtId="0" fontId="1" fillId="6" borderId="0" xfId="0" applyFont="1" applyFill="1" applyAlignment="1">
      <alignment horizontal="center"/>
    </xf>
    <xf numFmtId="0" fontId="0" fillId="4" borderId="0" xfId="0" applyFill="1" applyAlignment="1">
      <alignment horizontal="center"/>
    </xf>
    <xf numFmtId="165" fontId="0" fillId="0" borderId="0" xfId="1" applyNumberFormat="1" applyFont="1"/>
    <xf numFmtId="2" fontId="0" fillId="0" borderId="0" xfId="1" applyNumberFormat="1" applyFont="1"/>
    <xf numFmtId="10" fontId="0" fillId="0" borderId="0" xfId="1" applyNumberFormat="1" applyFont="1"/>
    <xf numFmtId="1" fontId="0" fillId="0" borderId="0" xfId="0" applyNumberFormat="1"/>
    <xf numFmtId="0" fontId="1" fillId="2" borderId="0" xfId="0" applyFont="1" applyFill="1" applyAlignment="1">
      <alignment horizontal="center"/>
    </xf>
    <xf numFmtId="10" fontId="0" fillId="0" borderId="0" xfId="0" applyNumberFormat="1"/>
    <xf numFmtId="44" fontId="0" fillId="0" borderId="0" xfId="2" applyFont="1"/>
    <xf numFmtId="44" fontId="0" fillId="0" borderId="0" xfId="0" applyNumberFormat="1"/>
    <xf numFmtId="166" fontId="0" fillId="0" borderId="0" xfId="1" applyNumberFormat="1" applyFont="1"/>
    <xf numFmtId="0" fontId="0" fillId="0" borderId="0" xfId="0" applyAlignment="1">
      <alignment horizontal="right"/>
    </xf>
    <xf numFmtId="14" fontId="0" fillId="0" borderId="0" xfId="0" applyNumberFormat="1" applyAlignment="1">
      <alignment horizontal="center"/>
    </xf>
    <xf numFmtId="167" fontId="0" fillId="0" borderId="0" xfId="0" applyNumberFormat="1"/>
    <xf numFmtId="44" fontId="0" fillId="0" borderId="0" xfId="0" applyNumberFormat="1" applyAlignment="1">
      <alignment horizontal="center"/>
    </xf>
    <xf numFmtId="0" fontId="0" fillId="7" borderId="0" xfId="0" applyFill="1"/>
    <xf numFmtId="9" fontId="0" fillId="0" borderId="0" xfId="1" applyFont="1" applyAlignment="1">
      <alignment horizontal="center"/>
    </xf>
    <xf numFmtId="0" fontId="0" fillId="8" borderId="0" xfId="0" applyFill="1"/>
    <xf numFmtId="0" fontId="2" fillId="0" borderId="0" xfId="0" applyFont="1" applyAlignment="1">
      <alignment vertical="center" wrapText="1"/>
    </xf>
    <xf numFmtId="0" fontId="5" fillId="9" borderId="1" xfId="0" applyFont="1" applyFill="1" applyBorder="1" applyAlignment="1">
      <alignment horizontal="center" vertical="center"/>
    </xf>
    <xf numFmtId="0" fontId="1" fillId="6" borderId="0" xfId="0" applyFont="1" applyFill="1" applyAlignment="1">
      <alignment horizontal="center" vertical="center" wrapText="1"/>
    </xf>
    <xf numFmtId="0" fontId="0" fillId="10" borderId="0" xfId="0" applyFill="1"/>
    <xf numFmtId="165" fontId="0" fillId="0" borderId="0" xfId="1" applyNumberFormat="1" applyFont="1" applyAlignment="1">
      <alignment horizontal="center"/>
    </xf>
    <xf numFmtId="9" fontId="0" fillId="0" borderId="0" xfId="0" applyNumberFormat="1" applyAlignment="1">
      <alignment horizontal="center"/>
    </xf>
    <xf numFmtId="0" fontId="0" fillId="0" borderId="0" xfId="0" applyAlignment="1">
      <alignment horizontal="center"/>
    </xf>
    <xf numFmtId="0" fontId="1" fillId="11" borderId="0" xfId="0" applyFont="1" applyFill="1"/>
    <xf numFmtId="0" fontId="1" fillId="11" borderId="0" xfId="0" applyFont="1" applyFill="1" applyAlignment="1">
      <alignment horizontal="center" vertical="center"/>
    </xf>
    <xf numFmtId="0" fontId="1" fillId="11" borderId="0" xfId="0" applyFont="1" applyFill="1" applyAlignment="1">
      <alignment horizontal="center"/>
    </xf>
    <xf numFmtId="0" fontId="0" fillId="0" borderId="0" xfId="0" applyAlignment="1">
      <alignment horizontal="center" wrapText="1"/>
    </xf>
    <xf numFmtId="0" fontId="0" fillId="0" borderId="0" xfId="0" applyAlignment="1">
      <alignment horizontal="center" vertical="center" wrapText="1"/>
    </xf>
    <xf numFmtId="2" fontId="0" fillId="8" borderId="0" xfId="0" applyNumberFormat="1" applyFill="1"/>
    <xf numFmtId="9" fontId="0" fillId="0" borderId="0" xfId="0" applyNumberFormat="1"/>
    <xf numFmtId="165" fontId="0" fillId="7" borderId="0" xfId="1" applyNumberFormat="1" applyFont="1" applyFill="1"/>
    <xf numFmtId="9" fontId="3" fillId="7" borderId="0" xfId="1" applyFont="1" applyFill="1"/>
    <xf numFmtId="2" fontId="0" fillId="7" borderId="0" xfId="1" applyNumberFormat="1" applyFont="1" applyFill="1"/>
    <xf numFmtId="0" fontId="0" fillId="7" borderId="2" xfId="0" applyFill="1" applyBorder="1"/>
    <xf numFmtId="0" fontId="0" fillId="12" borderId="2" xfId="0" applyFill="1" applyBorder="1"/>
    <xf numFmtId="168" fontId="0" fillId="0" borderId="0" xfId="0" applyNumberFormat="1"/>
    <xf numFmtId="3" fontId="0" fillId="0" borderId="0" xfId="0" applyNumberFormat="1"/>
    <xf numFmtId="0" fontId="3" fillId="4" borderId="0" xfId="0" applyFont="1" applyFill="1"/>
    <xf numFmtId="165" fontId="0" fillId="0" borderId="0" xfId="0" applyNumberFormat="1"/>
    <xf numFmtId="0" fontId="0" fillId="5" borderId="0" xfId="0" applyFill="1" applyAlignment="1">
      <alignment horizontal="center"/>
    </xf>
  </cellXfs>
  <cellStyles count="3">
    <cellStyle name="Currency" xfId="2" builtinId="4"/>
    <cellStyle name="Normal" xfId="0" builtinId="0"/>
    <cellStyle name="Percent" xfId="1" builtinId="5"/>
  </cellStyles>
  <dxfs count="215">
    <dxf>
      <fill>
        <patternFill>
          <bgColor rgb="FF00B0F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ont>
        <b/>
        <i val="0"/>
      </font>
      <fill>
        <patternFill>
          <bgColor rgb="FFEE0000"/>
        </patternFill>
      </fill>
    </dxf>
    <dxf>
      <fill>
        <patternFill>
          <bgColor rgb="FFFFFF00"/>
        </patternFill>
      </fill>
    </dxf>
    <dxf>
      <fill>
        <patternFill>
          <bgColor rgb="FFEE00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theme="0" tint="-0.14996795556505021"/>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F0"/>
        </patternFill>
      </fill>
    </dxf>
    <dxf>
      <fill>
        <patternFill>
          <bgColor rgb="FFFF0000"/>
        </patternFill>
      </fill>
    </dxf>
    <dxf>
      <fill>
        <patternFill>
          <bgColor rgb="FF92D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92D050"/>
        </patternFill>
      </fill>
    </dxf>
    <dxf>
      <font>
        <b/>
        <i val="0"/>
      </font>
      <fill>
        <patternFill>
          <bgColor rgb="FFFF0000"/>
        </patternFill>
      </fill>
    </dxf>
    <dxf>
      <font>
        <b/>
        <i val="0"/>
      </font>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ont>
        <b/>
        <i val="0"/>
      </font>
      <fill>
        <patternFill>
          <bgColor rgb="FFFF0000"/>
        </patternFill>
      </fill>
    </dxf>
    <dxf>
      <fill>
        <patternFill>
          <bgColor rgb="FF00B0F0"/>
        </patternFill>
      </fill>
    </dxf>
    <dxf>
      <font>
        <b/>
        <i val="0"/>
      </font>
      <fill>
        <patternFill>
          <bgColor rgb="FF00B0F0"/>
        </patternFill>
      </fill>
    </dxf>
    <dxf>
      <font>
        <b/>
        <i val="0"/>
      </font>
      <fill>
        <patternFill>
          <bgColor rgb="FFFF0000"/>
        </patternFill>
      </fill>
    </dxf>
    <dxf>
      <fill>
        <patternFill>
          <bgColor rgb="FFFF0000"/>
        </patternFill>
      </fill>
    </dxf>
    <dxf>
      <fill>
        <patternFill>
          <bgColor rgb="FFFFFF00"/>
        </patternFill>
      </fill>
    </dxf>
    <dxf>
      <fill>
        <patternFill>
          <bgColor rgb="FFFFFF00"/>
        </patternFill>
      </fill>
    </dxf>
    <dxf>
      <font>
        <b/>
        <i val="0"/>
      </font>
      <fill>
        <patternFill>
          <bgColor rgb="FFFF0000"/>
        </patternFill>
      </fill>
    </dxf>
    <dxf>
      <fill>
        <patternFill>
          <bgColor rgb="FF00B0F0"/>
        </patternFill>
      </fill>
    </dxf>
    <dxf>
      <fill>
        <patternFill>
          <bgColor rgb="FFFFFF00"/>
        </patternFill>
      </fill>
    </dxf>
    <dxf>
      <fill>
        <patternFill>
          <bgColor rgb="FFFFFF00"/>
        </patternFill>
      </fill>
    </dxf>
    <dxf>
      <fill>
        <patternFill>
          <bgColor rgb="FF00B0F0"/>
        </patternFill>
      </fill>
    </dxf>
    <dxf>
      <fill>
        <patternFill>
          <bgColor rgb="FF00B0F0"/>
        </patternFill>
      </fill>
    </dxf>
    <dxf>
      <fill>
        <patternFill>
          <bgColor rgb="FFFF0000"/>
        </patternFill>
      </fill>
    </dxf>
    <dxf>
      <fill>
        <patternFill>
          <bgColor rgb="FF00B0F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ont>
        <b/>
        <i val="0"/>
      </font>
      <fill>
        <patternFill>
          <bgColor rgb="FF92D050"/>
        </patternFill>
      </fill>
    </dxf>
    <dxf>
      <font>
        <b/>
        <i val="0"/>
      </font>
      <fill>
        <patternFill>
          <bgColor rgb="FF92D050"/>
        </patternFill>
      </fill>
    </dxf>
    <dxf>
      <fill>
        <patternFill>
          <bgColor rgb="FFFFFF00"/>
        </patternFill>
      </fill>
    </dxf>
    <dxf>
      <font>
        <b/>
        <i val="0"/>
      </font>
      <fill>
        <patternFill>
          <bgColor rgb="FFFFFF00"/>
        </patternFill>
      </fill>
    </dxf>
    <dxf>
      <fill>
        <patternFill>
          <bgColor rgb="FF00B0F0"/>
        </patternFill>
      </fill>
    </dxf>
    <dxf>
      <fill>
        <patternFill>
          <bgColor rgb="FFFFFF00"/>
        </patternFill>
      </fill>
    </dxf>
    <dxf>
      <font>
        <b val="0"/>
        <i/>
      </font>
      <fill>
        <patternFill>
          <bgColor rgb="FF00B0F0"/>
        </patternFill>
      </fill>
    </dxf>
    <dxf>
      <fill>
        <patternFill>
          <bgColor rgb="FFFFFF00"/>
        </patternFill>
      </fill>
    </dxf>
    <dxf>
      <fill>
        <patternFill>
          <bgColor rgb="FFFFFF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FF00"/>
        </patternFill>
      </fill>
    </dxf>
    <dxf>
      <font>
        <b/>
        <i val="0"/>
      </font>
      <fill>
        <patternFill>
          <bgColor rgb="FF00B0F0"/>
        </patternFill>
      </fill>
    </dxf>
    <dxf>
      <fill>
        <patternFill>
          <bgColor rgb="FFFFFF00"/>
        </patternFill>
      </fill>
    </dxf>
    <dxf>
      <font>
        <b val="0"/>
        <i val="0"/>
      </font>
      <fill>
        <patternFill>
          <bgColor rgb="FFFFFF00"/>
        </patternFill>
      </fill>
    </dxf>
    <dxf>
      <fill>
        <patternFill>
          <bgColor rgb="FFFFFF00"/>
        </patternFill>
      </fill>
    </dxf>
    <dxf>
      <font>
        <b/>
        <i val="0"/>
      </font>
      <fill>
        <patternFill>
          <bgColor rgb="FF92D050"/>
        </patternFill>
      </fill>
    </dxf>
    <dxf>
      <fill>
        <patternFill>
          <bgColor rgb="FF92D050"/>
        </patternFill>
      </fill>
    </dxf>
    <dxf>
      <fill>
        <patternFill>
          <bgColor rgb="FF92D050"/>
        </patternFill>
      </fill>
    </dxf>
    <dxf>
      <fill>
        <patternFill>
          <bgColor rgb="FF00B0F0"/>
        </patternFill>
      </fill>
    </dxf>
    <dxf>
      <fill>
        <patternFill>
          <bgColor rgb="FFFF0000"/>
        </patternFill>
      </fill>
    </dxf>
    <dxf>
      <fill>
        <patternFill>
          <bgColor rgb="FF92D050"/>
        </patternFill>
      </fill>
    </dxf>
    <dxf>
      <fill>
        <patternFill>
          <bgColor rgb="FF00B0F0"/>
        </patternFill>
      </fill>
    </dxf>
    <dxf>
      <fill>
        <patternFill>
          <bgColor rgb="FF92D050"/>
        </patternFill>
      </fill>
    </dxf>
    <dxf>
      <font>
        <b/>
        <i val="0"/>
      </font>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alignment horizontal="center" textRotation="0" indent="0" justifyLastLine="0" shrinkToFit="0" readingOrder="0"/>
    </dxf>
    <dxf>
      <numFmt numFmtId="165" formatCode="0.0%"/>
    </dxf>
    <dxf>
      <numFmt numFmtId="2" formatCode="0.00"/>
    </dxf>
    <dxf>
      <numFmt numFmtId="2" formatCode="0.00"/>
    </dxf>
    <dxf>
      <fill>
        <patternFill patternType="solid">
          <fgColor indexed="64"/>
          <bgColor theme="0"/>
        </patternFill>
      </fill>
    </dxf>
    <dxf>
      <fill>
        <patternFill>
          <bgColor rgb="FFFFFF00"/>
        </patternFill>
      </fill>
    </dxf>
    <dxf>
      <numFmt numFmtId="0" formatCode="General"/>
    </dxf>
    <dxf>
      <numFmt numFmtId="14" formatCode="0.00%"/>
    </dxf>
    <dxf>
      <numFmt numFmtId="0" formatCode="General"/>
    </dxf>
    <dxf>
      <font>
        <b val="0"/>
        <i val="0"/>
        <strike val="0"/>
        <condense val="0"/>
        <extend val="0"/>
        <outline val="0"/>
        <shadow val="0"/>
        <u val="none"/>
        <vertAlign val="baseline"/>
        <sz val="11"/>
        <color theme="1"/>
        <name val="Aptos Narrow"/>
        <family val="2"/>
        <scheme val="minor"/>
      </font>
      <numFmt numFmtId="165" formatCode="0.0%"/>
    </dxf>
    <dxf>
      <numFmt numFmtId="2" formatCode="0.00"/>
    </dxf>
    <dxf>
      <numFmt numFmtId="2" formatCode="0.0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00B0F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2" formatCode="0.00"/>
    </dxf>
    <dxf>
      <font>
        <b val="0"/>
        <i val="0"/>
        <strike val="0"/>
        <condense val="0"/>
        <extend val="0"/>
        <outline val="0"/>
        <shadow val="0"/>
        <u val="none"/>
        <vertAlign val="baseline"/>
        <sz val="11"/>
        <color theme="1"/>
        <name val="Aptos Narrow"/>
        <family val="2"/>
        <scheme val="minor"/>
      </font>
      <numFmt numFmtId="165" formatCode="0.0%"/>
    </dxf>
    <dxf>
      <font>
        <b val="0"/>
        <i val="0"/>
        <strike val="0"/>
        <condense val="0"/>
        <extend val="0"/>
        <outline val="0"/>
        <shadow val="0"/>
        <u val="none"/>
        <vertAlign val="baseline"/>
        <sz val="11"/>
        <color theme="1"/>
        <name val="Aptos Narrow"/>
        <family val="2"/>
        <scheme val="minor"/>
      </font>
      <numFmt numFmtId="166" formatCode="0.0000"/>
    </dxf>
    <dxf>
      <font>
        <b val="0"/>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0"/>
        <name val="Aptos Narrow"/>
        <family val="2"/>
        <scheme val="minor"/>
      </font>
      <fill>
        <patternFill patternType="solid">
          <fgColor indexed="64"/>
          <bgColor rgb="FF00B0F0"/>
        </patternFill>
      </fill>
      <alignment horizontal="center"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rgb="FF1F4E78"/>
          <bgColor rgb="FF0070C0"/>
        </patternFill>
      </fill>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rgb="FF0070C0"/>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tyles" Target="styles.xml"/><Relationship Id="rId18" Type="http://schemas.microsoft.com/office/2017/06/relationships/richStyles" Target="richData/richStyles.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microsoft.com/office/2017/06/relationships/rdSupportingPropertyBag" Target="richData/rdsupporting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9.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1.xml"/><Relationship Id="rId10" Type="http://schemas.openxmlformats.org/officeDocument/2006/relationships/worksheet" Target="worksheets/sheet8.xml"/><Relationship Id="rId19"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sharedStrings" Target="sharedStrings.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Sector Allocation- Portfolio</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'Sectors Numbers'!$E$2</c:f>
              <c:strCache>
                <c:ptCount val="1"/>
                <c:pt idx="0">
                  <c:v> Value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97A-44A0-B374-5667A5B64FD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97A-44A0-B374-5667A5B64FD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97A-44A0-B374-5667A5B64FD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97A-44A0-B374-5667A5B64FDE}"/>
              </c:ext>
            </c:extLst>
          </c:dPt>
          <c:dPt>
            <c:idx val="4"/>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97A-44A0-B374-5667A5B64FD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97A-44A0-B374-5667A5B64FD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97A-44A0-B374-5667A5B64FD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97A-44A0-B374-5667A5B64FD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97A-44A0-B374-5667A5B64FD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934E-4BEA-B294-24EA95F4BD4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34E-4BEA-B294-24EA95F4BD41}"/>
              </c:ext>
            </c:extLst>
          </c:dPt>
          <c:dLbls>
            <c:dLbl>
              <c:idx val="0"/>
              <c:layout>
                <c:manualLayout>
                  <c:x val="8.2899303103142696E-2"/>
                  <c:y val="1.43989883568627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97A-44A0-B374-5667A5B64FDE}"/>
                </c:ext>
              </c:extLst>
            </c:dLbl>
            <c:dLbl>
              <c:idx val="1"/>
              <c:layout>
                <c:manualLayout>
                  <c:x val="-5.1215317316678994E-3"/>
                  <c:y val="-3.23764864740841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97A-44A0-B374-5667A5B64FDE}"/>
                </c:ext>
              </c:extLst>
            </c:dLbl>
            <c:dLbl>
              <c:idx val="2"/>
              <c:layout>
                <c:manualLayout>
                  <c:x val="-6.4311466250924305E-3"/>
                  <c:y val="-7.2024316781237096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7A-44A0-B374-5667A5B64FDE}"/>
                </c:ext>
              </c:extLst>
            </c:dLbl>
            <c:dLbl>
              <c:idx val="3"/>
              <c:layout>
                <c:manualLayout>
                  <c:x val="-8.0657148309821874E-3"/>
                  <c:y val="-1.8958781798250477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97A-44A0-B374-5667A5B64FDE}"/>
                </c:ext>
              </c:extLst>
            </c:dLbl>
            <c:dLbl>
              <c:idx val="4"/>
              <c:layout>
                <c:manualLayout>
                  <c:x val="-6.8996075306604066E-2"/>
                  <c:y val="-6.562374312724459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97A-44A0-B374-5667A5B64FDE}"/>
                </c:ext>
              </c:extLst>
            </c:dLbl>
            <c:dLbl>
              <c:idx val="5"/>
              <c:layout>
                <c:manualLayout>
                  <c:x val="-5.7213807863570346E-2"/>
                  <c:y val="1.72866299463325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97A-44A0-B374-5667A5B64FDE}"/>
                </c:ext>
              </c:extLst>
            </c:dLbl>
            <c:dLbl>
              <c:idx val="6"/>
              <c:layout>
                <c:manualLayout>
                  <c:x val="1.7004121879401462E-3"/>
                  <c:y val="-2.060060595061221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97A-44A0-B374-5667A5B64FDE}"/>
                </c:ext>
              </c:extLst>
            </c:dLbl>
            <c:dLbl>
              <c:idx val="7"/>
              <c:layout>
                <c:manualLayout>
                  <c:x val="1.2119422572178478E-2"/>
                  <c:y val="-1.86574074074074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97A-44A0-B374-5667A5B64FDE}"/>
                </c:ext>
              </c:extLst>
            </c:dLbl>
            <c:dLbl>
              <c:idx val="8"/>
              <c:layout>
                <c:manualLayout>
                  <c:x val="1.8801282054977997E-2"/>
                  <c:y val="8.128617391935322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A97A-44A0-B374-5667A5B64FDE}"/>
                </c:ext>
              </c:extLst>
            </c:dLbl>
            <c:dLbl>
              <c:idx val="9"/>
              <c:layout>
                <c:manualLayout>
                  <c:x val="5.212052792805363E-3"/>
                  <c:y val="-2.35466799663950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934E-4BEA-B294-24EA95F4BD41}"/>
                </c:ext>
              </c:extLst>
            </c:dLbl>
            <c:dLbl>
              <c:idx val="10"/>
              <c:layout>
                <c:manualLayout>
                  <c:x val="1.0493466627998221E-2"/>
                  <c:y val="-6.2976817728779225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934E-4BEA-B294-24EA95F4BD4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'Sectors Numbers'!$D$3:$D$13</c:f>
              <c:strCache>
                <c:ptCount val="11"/>
                <c:pt idx="0">
                  <c:v>Communication Service</c:v>
                </c:pt>
                <c:pt idx="1">
                  <c:v>Technology</c:v>
                </c:pt>
                <c:pt idx="2">
                  <c:v>Financial Technology</c:v>
                </c:pt>
                <c:pt idx="3">
                  <c:v>Industrials</c:v>
                </c:pt>
                <c:pt idx="4">
                  <c:v>International ETF </c:v>
                </c:pt>
                <c:pt idx="5">
                  <c:v>Health Care</c:v>
                </c:pt>
                <c:pt idx="6">
                  <c:v>Financials</c:v>
                </c:pt>
                <c:pt idx="7">
                  <c:v>Energy</c:v>
                </c:pt>
                <c:pt idx="8">
                  <c:v>Consumer Staples</c:v>
                </c:pt>
                <c:pt idx="9">
                  <c:v>Tech Heavy ETF </c:v>
                </c:pt>
                <c:pt idx="10">
                  <c:v>Diversified ETF </c:v>
                </c:pt>
              </c:strCache>
            </c:strRef>
          </c:cat>
          <c:val>
            <c:numRef>
              <c:f>'Sectors Numbers'!$E$3:$E$13</c:f>
              <c:numCache>
                <c:formatCode>General</c:formatCode>
                <c:ptCount val="11"/>
                <c:pt idx="0">
                  <c:v>57555.399999999994</c:v>
                </c:pt>
                <c:pt idx="1">
                  <c:v>168926.73</c:v>
                </c:pt>
                <c:pt idx="2">
                  <c:v>15565.78</c:v>
                </c:pt>
                <c:pt idx="3">
                  <c:v>81012.14</c:v>
                </c:pt>
                <c:pt idx="4">
                  <c:v>105259.40999999999</c:v>
                </c:pt>
                <c:pt idx="5">
                  <c:v>28091.18</c:v>
                </c:pt>
                <c:pt idx="6">
                  <c:v>97608.920000000013</c:v>
                </c:pt>
                <c:pt idx="7">
                  <c:v>73311.839999999997</c:v>
                </c:pt>
                <c:pt idx="8">
                  <c:v>41471.300000000003</c:v>
                </c:pt>
                <c:pt idx="9">
                  <c:v>53405.159999999996</c:v>
                </c:pt>
                <c:pt idx="10">
                  <c:v>19745.140000000003</c:v>
                </c:pt>
              </c:numCache>
            </c:numRef>
          </c:val>
          <c:extLst>
            <c:ext xmlns:c16="http://schemas.microsoft.com/office/drawing/2014/chart" uri="{C3380CC4-5D6E-409C-BE32-E72D297353CC}">
              <c16:uniqueId val="{00000012-A97A-44A0-B374-5667A5B64FDE}"/>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sz="2400" b="0" cap="none" spc="0">
                <a:ln w="0"/>
                <a:solidFill>
                  <a:schemeClr val="accent1"/>
                </a:solidFill>
                <a:effectLst>
                  <a:outerShdw blurRad="38100" dist="25400" dir="5400000" algn="ctr" rotWithShape="0">
                    <a:srgbClr val="6E747A">
                      <a:alpha val="43000"/>
                    </a:srgbClr>
                  </a:outerShdw>
                </a:effectLst>
                <a:latin typeface="+mn-lt"/>
                <a:ea typeface="+mn-ea"/>
                <a:cs typeface="+mn-cs"/>
              </a:rPr>
              <a:t>% Return by Sector</a:t>
            </a:r>
            <a:endParaRPr lang="en-US" sz="2400" b="0" cap="none" spc="0">
              <a:ln w="0"/>
              <a:solidFill>
                <a:schemeClr val="accent1"/>
              </a:solidFill>
              <a:effectLst>
                <a:outerShdw blurRad="38100" dist="25400" dir="5400000" algn="ctr" rotWithShape="0">
                  <a:srgbClr val="6E747A">
                    <a:alpha val="43000"/>
                  </a:srgbClr>
                </a:outerShdw>
              </a:effectLst>
            </a:endParaRPr>
          </a:p>
        </c:rich>
      </c:tx>
      <c:overlay val="0"/>
      <c:spPr>
        <a:solidFill>
          <a:schemeClr val="lt1"/>
        </a:solidFill>
        <a:ln w="19050" cap="flat" cmpd="sng" algn="ctr">
          <a:solidFill>
            <a:schemeClr val="dk1"/>
          </a:solidFill>
          <a:prstDash val="solid"/>
          <a:miter lim="800000"/>
        </a:ln>
        <a:effectLst/>
      </c:spPr>
      <c:txPr>
        <a:bodyPr rot="0" spcFirstLastPara="1" vertOverflow="ellipsis" vert="horz" wrap="square" anchor="ctr" anchorCtr="1"/>
        <a:lstStyle/>
        <a:p>
          <a:pPr>
            <a:defRPr sz="2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lotArea>
      <c:layout>
        <c:manualLayout>
          <c:layoutTarget val="inner"/>
          <c:xMode val="edge"/>
          <c:yMode val="edge"/>
          <c:x val="5.4521632009085136E-2"/>
          <c:y val="9.3935764566683982E-2"/>
          <c:w val="0.92346578973793247"/>
          <c:h val="0.82784099776610254"/>
        </c:manualLayout>
      </c:layout>
      <c:barChart>
        <c:barDir val="col"/>
        <c:grouping val="clustered"/>
        <c:varyColors val="0"/>
        <c:ser>
          <c:idx val="0"/>
          <c:order val="0"/>
          <c:tx>
            <c:strRef>
              <c:f>'Sectors Numbers'!$H$1:$H$2</c:f>
              <c:strCache>
                <c:ptCount val="2"/>
                <c:pt idx="0">
                  <c:v>%</c:v>
                </c:pt>
                <c:pt idx="1">
                  <c:v>Return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'Sectors Numbers'!$D$3:$D$13</c:f>
              <c:strCache>
                <c:ptCount val="11"/>
                <c:pt idx="0">
                  <c:v>Communication Service</c:v>
                </c:pt>
                <c:pt idx="1">
                  <c:v>Technology</c:v>
                </c:pt>
                <c:pt idx="2">
                  <c:v>Financial Technology</c:v>
                </c:pt>
                <c:pt idx="3">
                  <c:v>Industrials</c:v>
                </c:pt>
                <c:pt idx="4">
                  <c:v>International ETF </c:v>
                </c:pt>
                <c:pt idx="5">
                  <c:v>Health Care</c:v>
                </c:pt>
                <c:pt idx="6">
                  <c:v>Financials</c:v>
                </c:pt>
                <c:pt idx="7">
                  <c:v>Energy</c:v>
                </c:pt>
                <c:pt idx="8">
                  <c:v>Consumer Staples</c:v>
                </c:pt>
                <c:pt idx="9">
                  <c:v>Tech Heavy ETF </c:v>
                </c:pt>
                <c:pt idx="10">
                  <c:v>Diversified ETF </c:v>
                </c:pt>
              </c:strCache>
            </c:strRef>
          </c:cat>
          <c:val>
            <c:numRef>
              <c:f>'Sectors Numbers'!$H$3:$H$13</c:f>
              <c:numCache>
                <c:formatCode>0.0%</c:formatCode>
                <c:ptCount val="11"/>
                <c:pt idx="0">
                  <c:v>0.14249223753827628</c:v>
                </c:pt>
                <c:pt idx="1">
                  <c:v>0.16320166835530309</c:v>
                </c:pt>
                <c:pt idx="2">
                  <c:v>0.12553273028337578</c:v>
                </c:pt>
                <c:pt idx="3">
                  <c:v>0.16413880432983252</c:v>
                </c:pt>
                <c:pt idx="4">
                  <c:v>3.2197566428110801E-2</c:v>
                </c:pt>
                <c:pt idx="5">
                  <c:v>7.4026324583196648E-2</c:v>
                </c:pt>
                <c:pt idx="6">
                  <c:v>7.6613222558192029E-2</c:v>
                </c:pt>
                <c:pt idx="7">
                  <c:v>1.2711132746507094E-2</c:v>
                </c:pt>
                <c:pt idx="8">
                  <c:v>5.8988893497397251E-3</c:v>
                </c:pt>
                <c:pt idx="9">
                  <c:v>0.1036130536130536</c:v>
                </c:pt>
                <c:pt idx="10">
                  <c:v>8.2973441697555161E-2</c:v>
                </c:pt>
              </c:numCache>
            </c:numRef>
          </c:val>
          <c:extLst>
            <c:ext xmlns:c16="http://schemas.microsoft.com/office/drawing/2014/chart" uri="{C3380CC4-5D6E-409C-BE32-E72D297353CC}">
              <c16:uniqueId val="{00000000-819F-4DC4-8623-AA84724D14FF}"/>
            </c:ext>
          </c:extLst>
        </c:ser>
        <c:dLbls>
          <c:showLegendKey val="0"/>
          <c:showVal val="0"/>
          <c:showCatName val="0"/>
          <c:showSerName val="0"/>
          <c:showPercent val="0"/>
          <c:showBubbleSize val="0"/>
        </c:dLbls>
        <c:gapWidth val="100"/>
        <c:overlap val="-24"/>
        <c:axId val="1110851160"/>
        <c:axId val="1110848280"/>
      </c:barChart>
      <c:catAx>
        <c:axId val="11108511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50" b="1" i="0" u="none" strike="noStrike" kern="1200" baseline="0">
                <a:solidFill>
                  <a:schemeClr val="lt1">
                    <a:lumMod val="85000"/>
                  </a:schemeClr>
                </a:solidFill>
                <a:effectLst>
                  <a:outerShdw blurRad="50800" dist="50800" dir="5400000" sx="1000" sy="1000" algn="ctr" rotWithShape="0">
                    <a:srgbClr val="FFFF00">
                      <a:alpha val="43000"/>
                    </a:srgbClr>
                  </a:outerShdw>
                </a:effectLst>
                <a:latin typeface="+mn-lt"/>
                <a:ea typeface="+mn-ea"/>
                <a:cs typeface="+mn-cs"/>
              </a:defRPr>
            </a:pPr>
            <a:endParaRPr lang="en-US"/>
          </a:p>
        </c:txPr>
        <c:crossAx val="1110848280"/>
        <c:crosses val="autoZero"/>
        <c:auto val="1"/>
        <c:lblAlgn val="ctr"/>
        <c:lblOffset val="100"/>
        <c:noMultiLvlLbl val="0"/>
      </c:catAx>
      <c:valAx>
        <c:axId val="111084828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ln>
                  <a:noFill/>
                </a:ln>
                <a:solidFill>
                  <a:schemeClr val="lt1">
                    <a:lumMod val="85000"/>
                  </a:schemeClr>
                </a:solidFill>
                <a:latin typeface="+mn-lt"/>
                <a:ea typeface="+mn-ea"/>
                <a:cs typeface="+mn-cs"/>
              </a:defRPr>
            </a:pPr>
            <a:endParaRPr lang="en-US"/>
          </a:p>
        </c:txPr>
        <c:crossAx val="111085116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4F17AEA-D284-42BF-8C41-F4AF1114C5FB}">
  <sheetPr/>
  <sheetViews>
    <sheetView zoomScale="70" workbookViewId="0"/>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4C640E6-070D-4888-A9B0-CF63072C182E}">
  <sheetPr/>
  <sheetViews>
    <sheetView zoomScale="67" workbookViewId="0" zoomToFit="1"/>
  </sheetViews>
  <pageMargins left="0.7" right="0.7" top="0.75" bottom="0.75" header="0.3" footer="0.3"/>
  <pageSetup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8654143" cy="6272893"/>
    <xdr:graphicFrame macro="">
      <xdr:nvGraphicFramePr>
        <xdr:cNvPr id="2" name="Chart 1">
          <a:extLst>
            <a:ext uri="{FF2B5EF4-FFF2-40B4-BE49-F238E27FC236}">
              <a16:creationId xmlns:a16="http://schemas.microsoft.com/office/drawing/2014/main" id="{6906645C-3619-E1A3-0D92-FA06269FA56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672015" cy="6297873"/>
    <xdr:graphicFrame macro="">
      <xdr:nvGraphicFramePr>
        <xdr:cNvPr id="2" name="Chart 1">
          <a:extLst>
            <a:ext uri="{FF2B5EF4-FFF2-40B4-BE49-F238E27FC236}">
              <a16:creationId xmlns:a16="http://schemas.microsoft.com/office/drawing/2014/main" id="{63BD3CD0-6B3B-9765-DF02-C9A100820F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7">
  <rv s="0">
    <v>https://www.bing.com/financeapi/forcetrigger?t=a1ygoc&amp;q=XNAS%3aNFLX&amp;form=skydnc</v>
    <v>Learn more on Bing</v>
  </rv>
  <rv s="1">
    <v>en-US</v>
    <v>a1ygoc</v>
    <v>268435456</v>
    <v>1</v>
    <v>Powered by Refinitiv</v>
    <v>0</v>
    <v>NETFLIX, INC. (XNAS:NFLX)</v>
    <v>2</v>
    <v>3</v>
    <v>Finance</v>
    <v>4</v>
    <v>1341.15</v>
    <v>587.04</v>
    <v>1.579</v>
    <v>-5.89</v>
    <v>-2.9799999999999998E-4</v>
    <v>-4.9890000000000004E-3</v>
    <v>-0.35</v>
    <v>USD</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14000</v>
    <v>Nasdaq Stock Market</v>
    <v>XNAS</v>
    <v>XNAS</v>
    <v>121 Albright Way, LOS GATOS, CA, 95032 US</v>
    <v>1197.7899</v>
    <v>Software &amp; IT Services</v>
    <v>Stock</v>
    <v>45866.99998266172</v>
    <v>0</v>
    <v>1168.53</v>
    <v>499118549439</v>
    <v>NETFLIX, INC.</v>
    <v>NETFLIX, INC.</v>
    <v>1181.2</v>
    <v>50.303699999999999</v>
    <v>1180.49</v>
    <v>1174.5999999999999</v>
    <v>1174.25</v>
    <v>424926400</v>
    <v>NFLX</v>
    <v>NETFLIX, INC. (XNAS:NFLX)</v>
    <v>3446958</v>
    <v>3864823</v>
    <v>1997</v>
  </rv>
  <rv s="2">
    <v>1</v>
  </rv>
  <rv s="0">
    <v>https://www.bing.com/financeapi/forcetrigger?t=a1yv52&amp;q=XNAS%3aNVDA&amp;form=skydnc</v>
    <v>Learn more on Bing</v>
  </rv>
  <rv s="1">
    <v>en-US</v>
    <v>a1yv52</v>
    <v>268435456</v>
    <v>1</v>
    <v>Powered by Refinitiv</v>
    <v>0</v>
    <v>NVIDIA CORPORATION (XNAS:NVDA)</v>
    <v>2</v>
    <v>3</v>
    <v>Finance</v>
    <v>4</v>
    <v>177</v>
    <v>86.62</v>
    <v>2.1412</v>
    <v>3.25</v>
    <v>2.2629999999999998E-3</v>
    <v>1.8731999999999999E-2</v>
    <v>0.4</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177</v>
    <v>Semiconductors &amp; Semiconductor Equipment</v>
    <v>Stock</v>
    <v>45866.999995971877</v>
    <v>3</v>
    <v>173.97</v>
    <v>4312700000000</v>
    <v>NVIDIA CORPORATION</v>
    <v>NVIDIA CORPORATION</v>
    <v>174.02</v>
    <v>56.933500000000002</v>
    <v>173.5</v>
    <v>176.75</v>
    <v>177.15</v>
    <v>24400000000</v>
    <v>NVDA</v>
    <v>NVIDIA CORPORATION (XNAS:NVDA)</v>
    <v>140023521</v>
    <v>176665763</v>
    <v>1998</v>
  </rv>
  <rv s="2">
    <v>4</v>
  </rv>
  <rv s="0">
    <v>https://www.bing.com/financeapi/forcetrigger?t=a1u3p2&amp;q=XNAS%3aGOOG&amp;form=skydnc</v>
    <v>Learn more on Bing</v>
  </rv>
  <rv s="1">
    <v>en-US</v>
    <v>a1u3p2</v>
    <v>268435456</v>
    <v>1</v>
    <v>Powered by Refinitiv</v>
    <v>0</v>
    <v>ALPHABET INC. (XNAS:GOOG)</v>
    <v>2</v>
    <v>3</v>
    <v>Finance</v>
    <v>4</v>
    <v>208.7</v>
    <v>142.66</v>
    <v>1.0173000000000001</v>
    <v>-0.66</v>
    <v>-3.6190000000000001E-4</v>
    <v>-3.4009999999999999E-3</v>
    <v>-7.0000000000000007E-2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187103</v>
    <v>Nasdaq Stock Market</v>
    <v>XNAS</v>
    <v>XNAS</v>
    <v>1600 Amphitheatre Parkway, MOUNTAIN VIEW, CA, 94043 US</v>
    <v>194.82</v>
    <v>Software &amp; IT Services</v>
    <v>Stock</v>
    <v>45866.999964698436</v>
    <v>6</v>
    <v>191.85499999999999</v>
    <v>2341206000000</v>
    <v>ALPHABET INC.</v>
    <v>ALPHABET INC.</v>
    <v>194.41</v>
    <v>20.605499999999999</v>
    <v>194.08</v>
    <v>193.42</v>
    <v>193.35</v>
    <v>12094000000</v>
    <v>GOOG</v>
    <v>ALPHABET INC. (XNAS:GOOG)</v>
    <v>25553546</v>
    <v>29629358</v>
    <v>2015</v>
  </rv>
  <rv s="2">
    <v>7</v>
  </rv>
  <rv s="0">
    <v>https://www.bing.com/financeapi/forcetrigger?t=a1waa2&amp;q=XNYS%3aJPM&amp;form=skydnc</v>
    <v>Learn more on Bing</v>
  </rv>
  <rv s="1">
    <v>en-US</v>
    <v>a1waa2</v>
    <v>268435456</v>
    <v>1</v>
    <v>Powered by Refinitiv</v>
    <v>0</v>
    <v>JPMORGAN CHASE &amp; CO. (XNYS:JPM)</v>
    <v>2</v>
    <v>3</v>
    <v>Finance</v>
    <v>4</v>
    <v>299.5899</v>
    <v>190.9</v>
    <v>1.1063000000000001</v>
    <v>-0.34</v>
    <v>-3.3490000000000001E-4</v>
    <v>-1.139E-3</v>
    <v>-9.9900000000000003E-2</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317160</v>
    <v>New York Stock Exchange</v>
    <v>XNYS</v>
    <v>XNYS</v>
    <v>383 Madison Avenue, NEW YORK, NY, 10179-0001 US</v>
    <v>299.43</v>
    <v>Banking Services</v>
    <v>Stock</v>
    <v>45866.999932939063</v>
    <v>9</v>
    <v>296.82</v>
    <v>828948158319</v>
    <v>JPMORGAN CHASE &amp; CO.</v>
    <v>JPMORGAN CHASE &amp; CO.</v>
    <v>297.66000000000003</v>
    <v>15.304</v>
    <v>298.62</v>
    <v>298.27999999999997</v>
    <v>298.18009999999998</v>
    <v>2779094000</v>
    <v>JPM</v>
    <v>JPMORGAN CHASE &amp; CO. (XNYS:JPM)</v>
    <v>5840417</v>
    <v>9598720</v>
    <v>1968</v>
  </rv>
  <rv s="2">
    <v>10</v>
  </rv>
  <rv s="0">
    <v>https://www.bing.com/financeapi/forcetrigger?t=a25ntc&amp;q=XNAS%3aVXUS&amp;form=skydnc</v>
    <v>Learn more on Bing</v>
  </rv>
  <rv s="3">
    <v>en-US</v>
    <v>a25ntc</v>
    <v>268435456</v>
    <v>1</v>
    <v>Powered by Refinitiv</v>
    <v>5</v>
    <v>Vanguard Tot I S;ETF (XNAS:VXUS)</v>
    <v>6</v>
    <v>7</v>
    <v>Finance</v>
    <v>8</v>
    <v>71.08</v>
    <v>54.98</v>
    <v>0.98719999999999997</v>
    <v>-0.91</v>
    <v>4.5999999999999999E-3</v>
    <v>-1.2910999999999999E-2</v>
    <v>0.32</v>
    <v>USD</v>
    <v>Nasdaq Stock Market</v>
    <v>XNAS</v>
    <v>5.0000000000000001E-4</v>
    <v>69.944999999999993</v>
    <v>ETF</v>
    <v>45866.999573957815</v>
    <v>12</v>
    <v>69.47</v>
    <v>95936963369</v>
    <v>Vanguard Tot I S;ETF</v>
    <v>69.924999999999997</v>
    <v>70.48</v>
    <v>69.569999999999993</v>
    <v>69.89</v>
    <v>VXUS</v>
    <v>Vanguard Tot I S;ETF (XNAS:VXUS)</v>
    <v>4951468</v>
    <v>4391340</v>
  </rv>
  <rv s="2">
    <v>13</v>
  </rv>
  <rv s="0">
    <v>https://www.bing.com/financeapi/forcetrigger?t=a1ythw&amp;q=XNYS%3aNUE&amp;form=skydnc</v>
    <v>Learn more on Bing</v>
  </rv>
  <rv s="1">
    <v>en-US</v>
    <v>a1ythw</v>
    <v>268435456</v>
    <v>1</v>
    <v>Powered by Refinitiv</v>
    <v>0</v>
    <v>NUCOR CORPORATION (XNYS:NUE)</v>
    <v>2</v>
    <v>3</v>
    <v>Finance</v>
    <v>4</v>
    <v>170.52</v>
    <v>97.59</v>
    <v>1.7545999999999999</v>
    <v>-1.31</v>
    <v>-5.6600999999999999E-2</v>
    <v>-8.9829999999999997E-3</v>
    <v>-8.18</v>
    <v>USD</v>
    <v>Nucor Corporation is a manufacturer of steel and steel products, with operating facilities in the United States, Canada and Mexico. The Company also produces and procures ferrous and non-ferrous materials primarily for use in its steel manufacturing business. Its segments include steel mills, steel products and raw materials. Its products include carbon and alloy steel in bars, beams, sheet and plate; hollow structural section tubing; electrical conduit; steel racking; steel piling; steel joists and joist girders; steel deck; fabricated concrete reinforcing steel; cold finished steel; precision castings; steel fasteners; metal building systems; insulated metal panels; overhead doors; steel grating; wire and wire mesh; and utility structures. The Company, through The David J. Joseph Company and its affiliates, also brokers ferrous and nonferrous metals, pig iron and hot briquetted iron / direct reduced iron; supplies ferro-alloys; and processes ferrous and nonferrous scrap.</v>
    <v>32700</v>
    <v>New York Stock Exchange</v>
    <v>XNYS</v>
    <v>XNYS</v>
    <v>1915 REXFORD RD, CHARLOTTE, NC, 28211 US</v>
    <v>147.15</v>
    <v>Metals &amp; Mining</v>
    <v>Stock</v>
    <v>45866.99984268516</v>
    <v>15</v>
    <v>144.06</v>
    <v>33348062260</v>
    <v>NUCOR CORPORATION</v>
    <v>NUCOR CORPORATION</v>
    <v>145.83000000000001</v>
    <v>26.2728</v>
    <v>145.83000000000001</v>
    <v>144.52000000000001</v>
    <v>136.34</v>
    <v>230750500</v>
    <v>NUE</v>
    <v>NUCOR CORPORATION (XNYS:NUE)</v>
    <v>2404202</v>
    <v>1878533</v>
    <v>1958</v>
  </rv>
  <rv s="2">
    <v>16</v>
  </rv>
  <rv s="0">
    <v>https://www.bing.com/financeapi/forcetrigger?t=a269ec&amp;q=XNYS%3aXOM&amp;form=skydnc</v>
    <v>Learn more on Bing</v>
  </rv>
  <rv s="1">
    <v>en-US</v>
    <v>a269ec</v>
    <v>268435456</v>
    <v>1</v>
    <v>Powered by Refinitiv</v>
    <v>0</v>
    <v>EXXON MOBIL CORPORATION (XNYS:XOM)</v>
    <v>2</v>
    <v>3</v>
    <v>Finance</v>
    <v>4</v>
    <v>126.34</v>
    <v>97.8</v>
    <v>0.50090000000000001</v>
    <v>1.04</v>
    <v>-7.1790000000000005E-4</v>
    <v>9.4199999999999996E-3</v>
    <v>-0.08</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112.1078</v>
    <v>Oil &amp; Gas</v>
    <v>Stock</v>
    <v>45866.999658171095</v>
    <v>18</v>
    <v>110.84</v>
    <v>480306400000</v>
    <v>EXXON MOBIL CORPORATION</v>
    <v>EXXON MOBIL CORPORATION</v>
    <v>111</v>
    <v>14.755000000000001</v>
    <v>110.4</v>
    <v>111.44</v>
    <v>111.36</v>
    <v>4310000000</v>
    <v>XOM</v>
    <v>EXXON MOBIL CORPORATION (XNYS:XOM)</v>
    <v>12352966</v>
    <v>16959210</v>
    <v>1882</v>
  </rv>
  <rv s="2">
    <v>19</v>
  </rv>
  <rv s="0">
    <v>https://www.bing.com/financeapi/forcetrigger?t=a1p7zr&amp;q=XNYS%3aCAT&amp;form=skydnc</v>
    <v>Learn more on Bing</v>
  </rv>
  <rv s="1">
    <v>en-US</v>
    <v>a1p7zr</v>
    <v>268435456</v>
    <v>1</v>
    <v>Powered by Refinitiv</v>
    <v>0</v>
    <v>CATERPILLAR INC. (XNYS:CAT)</v>
    <v>2</v>
    <v>3</v>
    <v>Finance</v>
    <v>4</v>
    <v>436.4</v>
    <v>267.3</v>
    <v>1.3997999999999999</v>
    <v>-0.81</v>
    <v>5.7740000000000005E-4</v>
    <v>-1.867E-3</v>
    <v>0.25</v>
    <v>USD</v>
    <v>Caterpillar Inc. is a manufacturer of construction and mining equipment, off-highway diesel and natural gas engines, industrial gas turbines and diesel-electric locomotives. The Company operates through its various segments, namely Construction Industries, Resource Industries, and Energy &amp; Transportation. It also provides financing and related services through its Financial Products segment. The Construction Industries segment is primarily responsible for supporting customers using machinery in infrastructure and building construction applications. The Resource Industries segment develops and manufactures high productivity equipment for both surface and underground mining operations, as well as provide hydraulic systems, electronics and software for its machines and engines. The Energy &amp; Transportation segment offers product and services that includes reciprocating engines, generator sets, integrated systems and solutions, turbines and turbine-related services.</v>
    <v>112900</v>
    <v>New York Stock Exchange</v>
    <v>XNYS</v>
    <v>XNYS</v>
    <v>5205 N. O'connor Boulevard, Suite 100, IRVING, TX, 75039 US</v>
    <v>436.4</v>
    <v>Machinery, Equipment &amp; Components</v>
    <v>Stock</v>
    <v>45866.997950902347</v>
    <v>21</v>
    <v>431.12</v>
    <v>203618176100</v>
    <v>CATERPILLAR INC.</v>
    <v>CATERPILLAR INC.</v>
    <v>431.25</v>
    <v>21.096</v>
    <v>433.75</v>
    <v>432.94</v>
    <v>433.19</v>
    <v>470315000</v>
    <v>CAT</v>
    <v>CATERPILLAR INC. (XNYS:CAT)</v>
    <v>2550479</v>
    <v>2795985</v>
    <v>1986</v>
  </rv>
  <rv s="2">
    <v>22</v>
  </rv>
  <rv s="0">
    <v>https://www.bing.com/financeapi/forcetrigger?t=a1nhlh&amp;q=XNAS%3aAMZN&amp;form=skydnc</v>
    <v>Learn more on Bing</v>
  </rv>
  <rv s="1">
    <v>en-US</v>
    <v>a1nhlh</v>
    <v>268435456</v>
    <v>1</v>
    <v>Powered by Refinitiv</v>
    <v>0</v>
    <v>AMAZON.COM, INC. (XNAS:AMZN)</v>
    <v>2</v>
    <v>3</v>
    <v>Finance</v>
    <v>4</v>
    <v>242.52</v>
    <v>151.61000000000001</v>
    <v>1.3132999999999999</v>
    <v>1.35</v>
    <v>1.16E-3</v>
    <v>5.8330000000000005E-3</v>
    <v>0.27</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1560000</v>
    <v>Nasdaq Stock Market</v>
    <v>XNAS</v>
    <v>XNAS</v>
    <v>410 Terry Avenue North, SEATTLE, WA, 98109 US</v>
    <v>234.29</v>
    <v>Diversified Retail</v>
    <v>Stock</v>
    <v>45866.999983414062</v>
    <v>24</v>
    <v>232.25</v>
    <v>2457049000000</v>
    <v>AMAZON.COM, INC.</v>
    <v>AMAZON.COM, INC.</v>
    <v>233.35</v>
    <v>37.745399999999997</v>
    <v>231.44</v>
    <v>232.79</v>
    <v>233.06</v>
    <v>10616350000</v>
    <v>AMZN</v>
    <v>AMAZON.COM, INC. (XNAS:AMZN)</v>
    <v>26300138</v>
    <v>42801283</v>
    <v>1996</v>
  </rv>
  <rv s="2">
    <v>25</v>
  </rv>
  <rv s="0">
    <v>https://www.bing.com/financeapi/forcetrigger?t=a1mou2&amp;q=XNAS%3aAAPL&amp;form=skydnc</v>
    <v>Learn more on Bing</v>
  </rv>
  <rv s="1">
    <v>en-US</v>
    <v>a1mou2</v>
    <v>268435456</v>
    <v>1</v>
    <v>Powered by Refinitiv</v>
    <v>0</v>
    <v>APPLE INC. (XNAS:AAPL)</v>
    <v>2</v>
    <v>3</v>
    <v>Finance</v>
    <v>4</v>
    <v>260.10000000000002</v>
    <v>169.21010000000001</v>
    <v>1.1671</v>
    <v>0.17</v>
    <v>3.2699999999999998E-4</v>
    <v>7.9479999999999991E-4</v>
    <v>7.0000000000000007E-2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Nasdaq Stock Market</v>
    <v>XNAS</v>
    <v>XNAS</v>
    <v>One Apple Park Way, CUPERTINO, CA, 95014 US</v>
    <v>214.845</v>
    <v>Computers, Phones &amp; Household Electronics</v>
    <v>Stock</v>
    <v>45866.999951041405</v>
    <v>27</v>
    <v>213.06</v>
    <v>3197014411500</v>
    <v>APPLE INC.</v>
    <v>APPLE INC.</v>
    <v>214.03</v>
    <v>30.2087</v>
    <v>213.88</v>
    <v>214.05</v>
    <v>214.12</v>
    <v>14935830000</v>
    <v>AAPL</v>
    <v>APPLE INC. (XNAS:AAPL)</v>
    <v>37858017</v>
    <v>53062930</v>
    <v>1977</v>
  </rv>
  <rv s="2">
    <v>28</v>
  </rv>
  <rv s="0">
    <v>https://www.bing.com/financeapi/forcetrigger?t=a1w8ec&amp;q=XNYS%3aJNJ&amp;form=skydnc</v>
    <v>Learn more on Bing</v>
  </rv>
  <rv s="1">
    <v>en-US</v>
    <v>a1w8ec</v>
    <v>268435456</v>
    <v>1</v>
    <v>Powered by Refinitiv</v>
    <v>0</v>
    <v>JOHNSON &amp; JOHNSON (XNYS:JNJ)</v>
    <v>2</v>
    <v>3</v>
    <v>Finance</v>
    <v>4</v>
    <v>169.99</v>
    <v>140.68</v>
    <v>0.40670000000000001</v>
    <v>-2.08</v>
    <v>3.3090000000000003E-3</v>
    <v>-1.2359E-2</v>
    <v>0.55000000000000004</v>
    <v>USD</v>
    <v>Johnson &amp; Johnson and its subsidiaries are engaged in the research and development, manufacture, and sale of a range of products in the healthcare field. The Company's primary focus is products related to human health and well-being. The Company operates through two segments: Innovative Medicine and MedTech. The Innovative Medicine segment is focused on various therapeutic areas, including immunology, infectious diseases, neuroscience, oncology, pulmonary hypertension, and cardiovascular and metabolism. Medicines in this segment are distributed directly to retailers, wholesalers, distributors, hospitals, and healthcare professionals for prescription use. The MedTech segment includes a broad portfolio of products used in the orthopedic, surgery, cardiovascular, and vision fields. These products are distributed to wholesalers, hospitals and retailers, and used principally in the professional fields by physicians, nurses, hospitals, eyecare professionals, and clinics.</v>
    <v>138100</v>
    <v>New York Stock Exchange</v>
    <v>XNYS</v>
    <v>XNYS</v>
    <v>One Johnson &amp; Johnson Plaza, NEW BRUNSWICK, NJ, 08933 US</v>
    <v>167.94</v>
    <v>Pharmaceuticals</v>
    <v>Stock</v>
    <v>45866.994395810158</v>
    <v>30</v>
    <v>165.05</v>
    <v>400314108580</v>
    <v>JOHNSON &amp; JOHNSON</v>
    <v>JOHNSON &amp; JOHNSON</v>
    <v>167.86</v>
    <v>17.779599999999999</v>
    <v>168.3</v>
    <v>166.22</v>
    <v>166.77</v>
    <v>2408339000</v>
    <v>JNJ</v>
    <v>JOHNSON &amp; JOHNSON (XNYS:JNJ)</v>
    <v>8014640</v>
    <v>9105117</v>
    <v>1887</v>
  </rv>
  <rv s="2">
    <v>31</v>
  </rv>
  <rv s="0">
    <v>https://www.bing.com/financeapi/forcetrigger?t=a23hqh&amp;q=ARCX%3aSPY&amp;form=skydnc</v>
    <v>Learn more on Bing</v>
  </rv>
  <rv s="3">
    <v>en-US</v>
    <v>a23hqh</v>
    <v>268435456</v>
    <v>1</v>
    <v>Powered by Refinitiv</v>
    <v>5</v>
    <v>SPDR S&amp;P 500 (ARCX:SPY)</v>
    <v>6</v>
    <v>7</v>
    <v>Finance</v>
    <v>8</v>
    <v>638.04</v>
    <v>481.8</v>
    <v>0.99850000000000005</v>
    <v>-0.16</v>
    <v>7.222000000000001E-4</v>
    <v>-2.5109999999999998E-4</v>
    <v>0.46</v>
    <v>USD</v>
    <v>NYSE Arca</v>
    <v>ARCX</v>
    <v>9.4499999999999998E-4</v>
    <v>638.04</v>
    <v>ETF</v>
    <v>45867.000000161715</v>
    <v>33</v>
    <v>635.54</v>
    <v>636784246028.79004</v>
    <v>SPDR S&amp;P 500</v>
    <v>637.48</v>
    <v>637.1</v>
    <v>636.94000000000005</v>
    <v>637.4</v>
    <v>SPY</v>
    <v>SPDR S&amp;P 500 (ARCX:SPY)</v>
    <v>54917102</v>
    <v>66206349</v>
  </rv>
  <rv s="2">
    <v>34</v>
  </rv>
  <rv s="0">
    <v>https://www.bing.com/financeapi/forcetrigger?t=a21mim&amp;q=XNAS%3aQQQ&amp;form=skydnc</v>
    <v>Learn more on Bing</v>
  </rv>
  <rv s="3">
    <v>en-US</v>
    <v>a21mim</v>
    <v>268435456</v>
    <v>1</v>
    <v>Powered by Refinitiv</v>
    <v>5</v>
    <v>Invesco QQQ Trust 1 (XNAS:QQQ)</v>
    <v>6</v>
    <v>7</v>
    <v>Finance</v>
    <v>8</v>
    <v>569.04</v>
    <v>402.39</v>
    <v>1.0383</v>
    <v>1.77</v>
    <v>1.6189999999999998E-3</v>
    <v>3.1250000000000002E-3</v>
    <v>0.92</v>
    <v>USD</v>
    <v>Nasdaq Stock Market</v>
    <v>XNAS</v>
    <v>2E-3</v>
    <v>569.04</v>
    <v>ETF</v>
    <v>45866.999952279686</v>
    <v>36</v>
    <v>566.87</v>
    <v>352676873492.59998</v>
    <v>Invesco QQQ Trust 1</v>
    <v>567.74</v>
    <v>566.37</v>
    <v>568.14</v>
    <v>569.05999999999995</v>
    <v>QQQ</v>
    <v>Invesco QQQ Trust 1 (XNAS:QQQ)</v>
    <v>31498739</v>
    <v>43458439</v>
  </rv>
  <rv s="2">
    <v>37</v>
  </rv>
  <rv s="0">
    <v>https://www.bing.com/financeapi/forcetrigger?t=a1tdvh&amp;q=XNAS%3aFSLR&amp;form=skydnc</v>
    <v>Learn more on Bing</v>
  </rv>
  <rv s="1">
    <v>en-US</v>
    <v>a1tdvh</v>
    <v>268435456</v>
    <v>1</v>
    <v>Powered by Refinitiv</v>
    <v>0</v>
    <v>FIRST SOLAR, INC. (XNAS:FSLR)</v>
    <v>2</v>
    <v>3</v>
    <v>Finance</v>
    <v>4</v>
    <v>262.72000000000003</v>
    <v>116.5625</v>
    <v>1.4877</v>
    <v>-1.74</v>
    <v>2.2880000000000001E-3</v>
    <v>-9.3889999999999998E-3</v>
    <v>0.42</v>
    <v>USD</v>
    <v>First Solar, Inc. is a photovoltaic (PV) solar technology and manufacturing company. It is focused on enabling power generation needs with its advanced, thin film PV technology. The Company's primary segment is its modules business, which involves the design, manufacture, and sale of CdTe solar modules, which convert sunlight into electricity. Third-party customers of the segment include system developers, independent power producers, utilities, commercial and industrial companies, and other system owners and operators. The Company's products include the Series 7 Module and Series 6 Plus module. Its Series 6 Plus module is a glass laminate approximately 4ft x 6ft in size that encapsulates thin film PV semiconductor materials. Its Series 7 module has a larger form factor of approximately 4ft x 7ft in size. The Series 6 Plus and Series 7 modules had an average power output of 459 watts and 531 watts, respectively.</v>
    <v>8100</v>
    <v>Nasdaq Stock Market</v>
    <v>XNAS</v>
    <v>XNAS</v>
    <v>350 West Washington Street, Suite 600, TEMPE, AZ, 85288 US</v>
    <v>184.88990000000001</v>
    <v>Renewable Energy</v>
    <v>Stock</v>
    <v>45866.999985115624</v>
    <v>39</v>
    <v>180.315</v>
    <v>19687945310</v>
    <v>FIRST SOLAR, INC.</v>
    <v>FIRST SOLAR, INC.</v>
    <v>183.75</v>
    <v>15.752800000000001</v>
    <v>185.32</v>
    <v>183.58</v>
    <v>184</v>
    <v>107244500</v>
    <v>FSLR</v>
    <v>FIRST SOLAR, INC. (XNAS:FSLR)</v>
    <v>2622123</v>
    <v>3826744</v>
    <v>2003</v>
  </rv>
  <rv s="2">
    <v>40</v>
  </rv>
  <rv s="0">
    <v>https://www.bing.com/financeapi/forcetrigger?t=a1x1ec&amp;q=XNYS%3aLNG&amp;form=skydnc</v>
    <v>Learn more on Bing</v>
  </rv>
  <rv s="1">
    <v>en-US</v>
    <v>a1x1ec</v>
    <v>268435456</v>
    <v>1</v>
    <v>Powered by Refinitiv</v>
    <v>0</v>
    <v>CHENIERE ENERGY, INC. (XNYS:LNG)</v>
    <v>2</v>
    <v>3</v>
    <v>Finance</v>
    <v>4</v>
    <v>257.64999999999998</v>
    <v>167.66319999999999</v>
    <v>0.41589999999999999</v>
    <v>3.11</v>
    <v>4.4640000000000001E-3</v>
    <v>1.38E-2</v>
    <v>1.02</v>
    <v>USD</v>
    <v>Cheniere Energy, Inc. is the producer and exporter of liquefied natural gas (LNG) in the United States. The Company provides clean and secure LNG to integrated energy companies, utilities, and energy trading companies worldwide. It operates two natural gas liquefaction and export facilities at Sabine Pass, Louisiana (Sabine Pass LNG Terminal) and near Corpus Christi, Texas (Corpus Christi LNG Terminal). Sabine Pass LNG Terminal, which has natural gas liquefaction facilities consisting of six operational trains, for a total production capacity of approximately 30 million tons per annum (mtpa) of LNG (the SPL Project). Corpus Christi LNG Terminal near Corpus Christi, Texas, consists of three trains for a total production capacity of approximately 15 mtpa of LNG, three LNG storage tanks and two marine berths. It also owns and operates a 94-mile natural gas supply pipeline that interconnects the Sabine Pass LNG Terminal with several large interstate and intrastate pipelines.</v>
    <v>1714</v>
    <v>New York Stock Exchange</v>
    <v>XNYS</v>
    <v>XNYS</v>
    <v>845 Texas Avenue, Suite 1250, HOUSTON, TX, 77002 US</v>
    <v>235.97</v>
    <v>Oil &amp; Gas Related Equipment and Services</v>
    <v>Stock</v>
    <v>45866.999028946091</v>
    <v>42</v>
    <v>227.21</v>
    <v>50673551040</v>
    <v>CHENIERE ENERGY, INC.</v>
    <v>CHENIERE ENERGY, INC.</v>
    <v>233.28</v>
    <v>16.694199999999999</v>
    <v>225.37</v>
    <v>228.48</v>
    <v>229.5</v>
    <v>221785500</v>
    <v>LNG</v>
    <v>CHENIERE ENERGY, INC. (XNYS:LNG)</v>
    <v>2798336</v>
    <v>1961910</v>
    <v>1983</v>
  </rv>
  <rv s="2">
    <v>43</v>
  </rv>
  <rv s="0">
    <v>https://www.bing.com/financeapi/forcetrigger?t=a21icw&amp;q=XNAS%3aPYPL&amp;form=skydnc</v>
    <v>Learn more on Bing</v>
  </rv>
  <rv s="1">
    <v>en-US</v>
    <v>a21icw</v>
    <v>268435456</v>
    <v>1</v>
    <v>Powered by Refinitiv</v>
    <v>0</v>
    <v>PAYPAL HOLDINGS, INC. (XNAS:PYPL)</v>
    <v>2</v>
    <v>3</v>
    <v>Finance</v>
    <v>4</v>
    <v>93.66</v>
    <v>55.85</v>
    <v>1.4323999999999999</v>
    <v>0.24</v>
    <v>1.4060000000000001E-3</v>
    <v>3.078E-3</v>
    <v>0.11</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Nasdaq Stock Market</v>
    <v>XNAS</v>
    <v>XNAS</v>
    <v>2211 N 1st St, SAN JOSE, CA, 95131 US</v>
    <v>79.5</v>
    <v>Professional &amp; Commercial Services</v>
    <v>Stock</v>
    <v>45866.999981885936</v>
    <v>45</v>
    <v>77.930000000000007</v>
    <v>76071515616</v>
    <v>PAYPAL HOLDINGS, INC.</v>
    <v>PAYPAL HOLDINGS, INC.</v>
    <v>78.510000000000005</v>
    <v>17.485499999999998</v>
    <v>77.98</v>
    <v>78.22</v>
    <v>78.33</v>
    <v>972532800</v>
    <v>PYPL</v>
    <v>PAYPAL HOLDINGS, INC. (XNAS:PYPL)</v>
    <v>15978415</v>
    <v>9607051</v>
    <v>2015</v>
  </rv>
  <rv s="2">
    <v>46</v>
  </rv>
  <rv s="0">
    <v>https://www.bing.com/financeapi/forcetrigger?t=a258pr&amp;q=ARCX%3aVDC&amp;form=skydnc</v>
    <v>Learn more on Bing</v>
  </rv>
  <rv s="3">
    <v>en-US</v>
    <v>a258pr</v>
    <v>268435456</v>
    <v>1</v>
    <v>Powered by Refinitiv</v>
    <v>5</v>
    <v>Vanguard Cnsmr Stp;ETF (ARCX:VDC)</v>
    <v>6</v>
    <v>9</v>
    <v>Finance</v>
    <v>8</v>
    <v>226.64</v>
    <v>202.95500000000001</v>
    <v>0.98799999999999999</v>
    <v>-1.87</v>
    <v>1.054E-3</v>
    <v>-8.4950000000000008E-3</v>
    <v>0.23</v>
    <v>USD</v>
    <v>NYSE Arca</v>
    <v>ARCX</v>
    <v>8.9999999999999998E-4</v>
    <v>219.53309999999999</v>
    <v>ETF</v>
    <v>45867</v>
    <v>48</v>
    <v>217.85220000000001</v>
    <v>7602234817</v>
    <v>Vanguard Cnsmr Stp;ETF</v>
    <v>218.95</v>
    <v>220.14</v>
    <v>218.27</v>
    <v>218.5</v>
    <v>VDC</v>
    <v>Vanguard Cnsmr Stp;ETF (ARCX:VDC)</v>
    <v>96034</v>
    <v>119348</v>
  </rv>
  <rv s="2">
    <v>49</v>
  </rv>
  <rv s="0">
    <v>https://www.bing.com/financeapi/forcetrigger?t=a1x8w7&amp;q=XNYS%3aMA&amp;form=skydnc</v>
    <v>Learn more on Bing</v>
  </rv>
  <rv s="1">
    <v>en-US</v>
    <v>a1x8w7</v>
    <v>268435456</v>
    <v>1</v>
    <v>Powered by Refinitiv</v>
    <v>0</v>
    <v>MASTERCARD INCORPORATED. (XNYS:MA)</v>
    <v>2</v>
    <v>3</v>
    <v>Finance</v>
    <v>4</v>
    <v>594.71</v>
    <v>435.42</v>
    <v>1.0274000000000001</v>
    <v>0.06</v>
    <v>-6.8799999999999998E-3</v>
    <v>1.0560000000000001E-4</v>
    <v>-3.91</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571.65</v>
    <v>Software &amp; IT Services</v>
    <v>Stock</v>
    <v>45866.973785786722</v>
    <v>51</v>
    <v>566.22</v>
    <v>516025290128</v>
    <v>MASTERCARD INCORPORATED.</v>
    <v>MASTERCARD INCORPORATED.</v>
    <v>567.37</v>
    <v>39.851599999999998</v>
    <v>568.22</v>
    <v>568.28</v>
    <v>564.37</v>
    <v>908047600</v>
    <v>MA</v>
    <v>MASTERCARD INCORPORATED. (XNYS:MA)</v>
    <v>2492411</v>
    <v>3042349</v>
    <v>2001</v>
  </rv>
  <rv s="2">
    <v>52</v>
  </rv>
  <rv s="0">
    <v>https://www.bing.com/financeapi/forcetrigger?t=a256cw&amp;q=XNYS%3aV&amp;form=skydnc</v>
    <v>Learn more on Bing</v>
  </rv>
  <rv s="1">
    <v>en-US</v>
    <v>a256cw</v>
    <v>268435456</v>
    <v>1</v>
    <v>Powered by Refinitiv</v>
    <v>0</v>
    <v>VISA INC. (XNYS:V)</v>
    <v>2</v>
    <v>3</v>
    <v>Finance</v>
    <v>4</v>
    <v>375.51</v>
    <v>254.51</v>
    <v>0.94040000000000001</v>
    <v>-1.57</v>
    <v>1.2099999999999999E-3</v>
    <v>-4.3969999999999999E-3</v>
    <v>0.43</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31600</v>
    <v>New York Stock Exchange</v>
    <v>XNYS</v>
    <v>XNYS</v>
    <v>P.O. Box 8999, SAN FRANCISCO, CA, 94128-8999 US</v>
    <v>358.32</v>
    <v>Software &amp; IT Services</v>
    <v>Stock</v>
    <v>45866.998458587499</v>
    <v>54</v>
    <v>354.73</v>
    <v>689312849730</v>
    <v>VISA INC.</v>
    <v>VISA INC.</v>
    <v>356.38</v>
    <v>35.860599999999998</v>
    <v>357.04</v>
    <v>355.47</v>
    <v>355.9</v>
    <v>1939159000</v>
    <v>V</v>
    <v>VISA INC. (XNYS:V)</v>
    <v>3920959</v>
    <v>6589052</v>
    <v>2007</v>
  </rv>
  <rv s="2">
    <v>55</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spbArrays>
  <spbData count="10">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spb>
    <spb s="6">
      <v>1</v>
      <v>2</v>
      <v>1</v>
      <v>3</v>
      <v>1</v>
      <v>1</v>
      <v>1</v>
      <v>4</v>
      <v>5</v>
      <v>6</v>
      <v>1</v>
      <v>1</v>
      <v>5</v>
      <v>1</v>
      <v>4</v>
      <v>7</v>
      <v>9</v>
      <v>1</v>
      <v>1</v>
      <v>5</v>
    </spb>
    <spb s="7">
      <v>at close</v>
      <v>from previous close</v>
      <v>Source: Nasdaq</v>
      <v>from previous close</v>
      <v>GMT</v>
      <v>Delayed 15 minutes</v>
      <v>from close</v>
      <v>from close</v>
    </spb>
    <spb s="6">
      <v>1</v>
      <v>2</v>
      <v>1</v>
      <v>3</v>
      <v>1</v>
      <v>1</v>
      <v>1</v>
      <v>4</v>
      <v>5</v>
      <v>6</v>
      <v>1</v>
      <v>1</v>
      <v>5</v>
      <v>1</v>
      <v>4</v>
      <v>10</v>
      <v>9</v>
      <v>1</v>
      <v>1</v>
      <v>5</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C8CCE54-D6A4-498F-9442-F2D49C964967}" name="Table3" displayName="Table3" ref="A1:H21" totalsRowCount="1" headerRowDxfId="214">
  <autoFilter ref="A1:H20" xr:uid="{3C8CCE54-D6A4-498F-9442-F2D49C964967}"/>
  <sortState xmlns:xlrd2="http://schemas.microsoft.com/office/spreadsheetml/2017/richdata2" ref="A2:H20">
    <sortCondition descending="1" ref="H2:H20"/>
  </sortState>
  <tableColumns count="8">
    <tableColumn id="1" xr3:uid="{B7947A2E-CB7A-42A7-89F3-12F207D30C67}" name="Ticker" totalsRowLabel="Total" dataDxfId="196"/>
    <tableColumn id="2" xr3:uid="{36DFC507-DAF6-46BF-9484-53E375E7A830}" name="Shares Held" totalsRowFunction="sum">
      <calculatedColumnFormula>'Holdings Sheet'!C3</calculatedColumnFormula>
    </tableColumn>
    <tableColumn id="3" xr3:uid="{345DC092-81C7-4194-BA96-7B5E59A17B7E}" name="Entry Price" dataDxfId="195">
      <calculatedColumnFormula>'Holdings Sheet'!D3</calculatedColumnFormula>
    </tableColumn>
    <tableColumn id="4" xr3:uid="{EB000DF7-7CAE-4261-BA6A-A74EDE94B207}" name="Current Price" dataDxfId="194">
      <calculatedColumnFormula>'Active Portfolio'!B3</calculatedColumnFormula>
    </tableColumn>
    <tableColumn id="5" xr3:uid="{5A43BC4C-0368-4588-B9A2-606B4B85DD5E}" name="Total Cost" totalsRowFunction="sum">
      <calculatedColumnFormula>B2*C2</calculatedColumnFormula>
    </tableColumn>
    <tableColumn id="6" xr3:uid="{E1799600-2AB9-49E9-9F36-E6D8C610A48D}" name="Market Value" totalsRowFunction="sum">
      <calculatedColumnFormula>B2*D2</calculatedColumnFormula>
    </tableColumn>
    <tableColumn id="7" xr3:uid="{2302F539-825E-4563-BF15-E68A7D6E78BF}" name="Unrealized Gain/Loss" totalsRowFunction="custom" totalsRowDxfId="193">
      <calculatedColumnFormula>F2-E2</calculatedColumnFormula>
      <totalsRowFormula>Table3[[#Totals],[Market Value]]/Table3[[#Totals],[Total Cost]]-1</totalsRowFormula>
    </tableColumn>
    <tableColumn id="8" xr3:uid="{53688687-90D0-446A-A304-885613F00234}" name="% Return" totalsRowFunction="sum" dataDxfId="192" totalsRowDxfId="191" dataCellStyle="Percent">
      <calculatedColumnFormula>(Table3[[#This Row],[Market Value]]-Table3[[#This Row],[Total Cost]])/Table3[[#This Row],[Total 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EC7903-3DB0-4C42-98D6-22F5CEC6EA29}" name="Table1" displayName="Table1" ref="A1:B11" totalsRowShown="0" headerRowDxfId="213" headerRowBorderDxfId="212">
  <autoFilter ref="A1:B11" xr:uid="{7FEC7903-3DB0-4C42-98D6-22F5CEC6EA29}"/>
  <tableColumns count="2">
    <tableColumn id="1" xr3:uid="{78CFB453-C5E3-4553-91C3-D3776D6399BF}" name="Metric"/>
    <tableColumn id="2" xr3:uid="{BE96B6F3-C60B-4490-A6D4-47CAB1DEB56D}" name="Value"/>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F30F3B-EEA5-4DB7-8691-9BB4F0780E02}" name="Table2" displayName="Table2" ref="A2:N21" totalsRowShown="0" headerRowDxfId="211" dataDxfId="210" dataCellStyle="Percent">
  <autoFilter ref="A2:N21" xr:uid="{69F30F3B-EEA5-4DB7-8691-9BB4F0780E02}"/>
  <sortState xmlns:xlrd2="http://schemas.microsoft.com/office/spreadsheetml/2017/richdata2" ref="A3:N18">
    <sortCondition ref="A2:A18"/>
  </sortState>
  <tableColumns count="14">
    <tableColumn id="1" xr3:uid="{21C48BD8-7766-400D-B089-A32405141882}" name="Ticker"/>
    <tableColumn id="2" xr3:uid="{6AEBEC09-F655-4739-A585-43780ACC3115}" name="Sector"/>
    <tableColumn id="3" xr3:uid="{D8D2A38B-8FC5-4F25-9078-228A7F844B6E}" name="Shares"/>
    <tableColumn id="4" xr3:uid="{79BA9941-3AA3-4D38-A428-5450D78242D9}" name="Entry Price/Avg Share"/>
    <tableColumn id="5" xr3:uid="{362D1B89-89D3-4319-849E-6259A2E0C54C}" name="Current Price"/>
    <tableColumn id="6" xr3:uid="{30A801A7-1C9F-4F5F-9682-7A82542C9D2F}" name="Market Value">
      <calculatedColumnFormula>E3*C3</calculatedColumnFormula>
    </tableColumn>
    <tableColumn id="7" xr3:uid="{7BEBD6FD-4600-4239-8413-A8BD8AE91380}" name="Allocatoin %" dataDxfId="209" dataCellStyle="Percent">
      <calculatedColumnFormula>F3/$F$24</calculatedColumnFormula>
    </tableColumn>
    <tableColumn id="8" xr3:uid="{B3DDC5CB-68BD-4376-A42B-6BE30DF9AFA5}" name="Cost Basis">
      <calculatedColumnFormula>D3*C3</calculatedColumnFormula>
    </tableColumn>
    <tableColumn id="9" xr3:uid="{FA84C9A1-94EE-4F8E-9216-AD455745AC94}" name="Gain/Loss">
      <calculatedColumnFormula>F3-H3</calculatedColumnFormula>
    </tableColumn>
    <tableColumn id="10" xr3:uid="{E0BBD4B4-4C11-423A-92F7-1972C99EC96D}" name="% Return" dataDxfId="208" dataCellStyle="Percent">
      <calculatedColumnFormula>(I3/H3)</calculatedColumnFormula>
    </tableColumn>
    <tableColumn id="11" xr3:uid="{E60E9131-19C1-4956-AFEB-2BA4F2096825}" name="52W High"/>
    <tableColumn id="12" xr3:uid="{8A7E7BF0-A87B-4C31-94AD-D2A83C7FD931}" name="% from 52W High" dataDxfId="207" dataCellStyle="Percent">
      <calculatedColumnFormula>(E3-K3)/K3</calculatedColumnFormula>
    </tableColumn>
    <tableColumn id="13" xr3:uid="{2015F429-BCE7-4AE8-9D57-101C7D65099B}" name="Breakout      Watch" dataDxfId="206" dataCellStyle="Percent">
      <calculatedColumnFormula>IF(L3&gt;=-0.03, "🚀 Breakout Watch", "")</calculatedColumnFormula>
    </tableColumn>
    <tableColumn id="14" xr3:uid="{C316FC61-2657-4D35-9DD5-44D31D636700}" name="52W Low"/>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2144FF1-A45B-41EF-9088-AB1130888082}" name="Table4" displayName="Table4" ref="A1:N19" totalsRowShown="0" headerRowDxfId="205">
  <autoFilter ref="A1:N19" xr:uid="{C2144FF1-A45B-41EF-9088-AB1130888082}"/>
  <sortState xmlns:xlrd2="http://schemas.microsoft.com/office/spreadsheetml/2017/richdata2" ref="A2:N19">
    <sortCondition ref="K2:K19"/>
  </sortState>
  <tableColumns count="14">
    <tableColumn id="1" xr3:uid="{7E8A84AF-05B1-45DC-9127-E7DE43316D62}" name="Ticker" dataDxfId="204"/>
    <tableColumn id="2" xr3:uid="{CE15FF36-2E12-4305-A748-74CF624055A2}" name="Current Price"/>
    <tableColumn id="3" xr3:uid="{5FCEF15F-F4FC-48FD-9582-D7E220EBDC99}" name="Entry Price" dataDxfId="203"/>
    <tableColumn id="4" xr3:uid="{38322016-51FC-47A9-9264-7EEF6FB52A75}" name="Highest Price">
      <calculatedColumnFormula>B2</calculatedColumnFormula>
    </tableColumn>
    <tableColumn id="5" xr3:uid="{114E01C7-7F15-457D-8E07-A2F88DF0EDDC}" name="Trailing Stop Price" dataDxfId="202"/>
    <tableColumn id="6" xr3:uid="{F18B3719-7BD7-4A79-9EC6-D1F1C8488707}" name="Stop Status"/>
    <tableColumn id="7" xr3:uid="{1ABD3298-C431-4AD4-967B-19488BBFB4E8}" name="% to Stop " dataDxfId="201" dataCellStyle="Percent">
      <calculatedColumnFormula>(B2-E2)/B2</calculatedColumnFormula>
    </tableColumn>
    <tableColumn id="8" xr3:uid="{EE48E0CE-F1CD-4145-83F7-A455D23B5955}" name="Near Stop Alert">
      <calculatedColumnFormula>IF(G2&lt;=3%,"Near Stop Zone", " ")</calculatedColumnFormula>
    </tableColumn>
    <tableColumn id="9" xr3:uid="{D8DDCD41-79AD-46AB-964B-1C933A1AF42D}" name="Comments"/>
    <tableColumn id="10" xr3:uid="{1E3490C8-210B-4C4C-9E3B-98F6B1095165}" name="Target Price" dataDxfId="200">
      <calculatedColumnFormula>ROUND(Table4[[#This Row],[Entry Price]] * 1.3, 2)</calculatedColumnFormula>
    </tableColumn>
    <tableColumn id="11" xr3:uid="{889300C3-B4D9-4749-B9EE-3DC6C57D3CE1}" name="% to Target" dataDxfId="199">
      <calculatedColumnFormula>ROUND((Table4[[#This Row],[Target Price]]-Table4[[#This Row],[Current Price]])/Table4[[#This Row],[Current Price]],2)</calculatedColumnFormula>
    </tableColumn>
    <tableColumn id="12" xr3:uid="{B7A7AF52-E5A5-4C7E-A52F-7652D8EB27D2}" name="Target Status" dataDxfId="198">
      <calculatedColumnFormula>IF(Table4[[#This Row],[Current Price]]&gt;=Table4[[#This Row],[Target Price]],"🎯 Trim Alert", "✅ Hold")</calculatedColumnFormula>
    </tableColumn>
    <tableColumn id="13" xr3:uid="{F8704393-1598-4B0F-B60F-9C0A4FDCDF8F}" name="Last Review Date"/>
    <tableColumn id="14" xr3:uid="{B58B0D9E-1759-4A11-8436-AEC1D416B72F}" name="Comments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0C9A-126F-4C5F-B2F0-C9CBD7252F45}">
  <dimension ref="A1:H23"/>
  <sheetViews>
    <sheetView workbookViewId="0">
      <pane ySplit="1" topLeftCell="A2" activePane="bottomLeft" state="frozen"/>
      <selection pane="bottomLeft" activeCell="C8" sqref="C8"/>
    </sheetView>
  </sheetViews>
  <sheetFormatPr defaultRowHeight="15" x14ac:dyDescent="0.25"/>
  <cols>
    <col min="1" max="1" width="12.140625" customWidth="1"/>
    <col min="2" max="2" width="14" customWidth="1"/>
    <col min="3" max="3" width="12.85546875" customWidth="1"/>
    <col min="4" max="4" width="15.140625" customWidth="1"/>
    <col min="5" max="5" width="12.28515625" customWidth="1"/>
    <col min="6" max="6" width="14.7109375" customWidth="1"/>
    <col min="7" max="7" width="22.140625" customWidth="1"/>
    <col min="8" max="8" width="12.140625" style="35" customWidth="1"/>
  </cols>
  <sheetData>
    <row r="1" spans="1:8" x14ac:dyDescent="0.25">
      <c r="A1" s="31" t="s">
        <v>9</v>
      </c>
      <c r="B1" s="31" t="s">
        <v>132</v>
      </c>
      <c r="C1" s="31" t="s">
        <v>133</v>
      </c>
      <c r="D1" s="31" t="s">
        <v>23</v>
      </c>
      <c r="E1" s="31" t="s">
        <v>19</v>
      </c>
      <c r="F1" s="31" t="s">
        <v>11</v>
      </c>
      <c r="G1" s="31" t="s">
        <v>134</v>
      </c>
      <c r="H1" s="31" t="s">
        <v>14</v>
      </c>
    </row>
    <row r="2" spans="1:8" x14ac:dyDescent="0.25">
      <c r="A2" t="s">
        <v>8</v>
      </c>
      <c r="B2">
        <f>'Holdings Sheet'!C13</f>
        <v>267</v>
      </c>
      <c r="C2" s="6">
        <f>'Holdings Sheet'!D13</f>
        <v>118.81456928838952</v>
      </c>
      <c r="D2" s="6">
        <f ca="1">'Active Portfolio'!B4</f>
        <v>176.75</v>
      </c>
      <c r="E2">
        <f>B2*C2</f>
        <v>31723.49</v>
      </c>
      <c r="F2">
        <f ca="1">B2*D2</f>
        <v>47192.25</v>
      </c>
      <c r="G2" s="6">
        <f ca="1">F2-E2</f>
        <v>15468.759999999998</v>
      </c>
      <c r="H2" s="33">
        <f ca="1">(Table3[[#This Row],[Market Value]]-Table3[[#This Row],[Total Cost]])/Table3[[#This Row],[Total Cost]]</f>
        <v>0.48761217633999276</v>
      </c>
    </row>
    <row r="3" spans="1:8" x14ac:dyDescent="0.25">
      <c r="A3" s="26" t="s">
        <v>127</v>
      </c>
      <c r="B3">
        <f>'Holdings Sheet'!C12</f>
        <v>88</v>
      </c>
      <c r="C3" s="6">
        <f>'Holdings Sheet'!D12</f>
        <v>118.81238636363636</v>
      </c>
      <c r="D3" s="6">
        <f ca="1">'Active Portfolio'!B8</f>
        <v>144.52000000000001</v>
      </c>
      <c r="E3">
        <f>B3*C3</f>
        <v>10455.49</v>
      </c>
      <c r="F3">
        <f ca="1">B3*D3</f>
        <v>12717.76</v>
      </c>
      <c r="G3" s="6">
        <f ca="1">F3-E3</f>
        <v>2262.2700000000004</v>
      </c>
      <c r="H3" s="33">
        <f ca="1">(Table3[[#This Row],[Market Value]]-Table3[[#This Row],[Total Cost]])/Table3[[#This Row],[Total Cost]]</f>
        <v>0.21637149478407999</v>
      </c>
    </row>
    <row r="4" spans="1:8" x14ac:dyDescent="0.25">
      <c r="A4" s="32" t="s">
        <v>116</v>
      </c>
      <c r="B4">
        <f>'Holdings Sheet'!C6</f>
        <v>288</v>
      </c>
      <c r="C4" s="6">
        <f>'Holdings Sheet'!D6</f>
        <v>153.19579861111112</v>
      </c>
      <c r="D4" s="6">
        <f ca="1">'Active Portfolio'!B16</f>
        <v>183.58</v>
      </c>
      <c r="E4">
        <f>B4*C4</f>
        <v>44120.39</v>
      </c>
      <c r="F4">
        <f ca="1">B4*D4</f>
        <v>52871.040000000001</v>
      </c>
      <c r="G4" s="6">
        <f ca="1">F4-E4</f>
        <v>8750.6500000000015</v>
      </c>
      <c r="H4" s="33">
        <f ca="1">(Table3[[#This Row],[Market Value]]-Table3[[#This Row],[Total Cost]])/Table3[[#This Row],[Total Cost]]</f>
        <v>0.19833573547287323</v>
      </c>
    </row>
    <row r="5" spans="1:8" x14ac:dyDescent="0.25">
      <c r="A5" t="s">
        <v>0</v>
      </c>
      <c r="B5">
        <f>'Holdings Sheet'!C11</f>
        <v>49</v>
      </c>
      <c r="C5" s="6">
        <f>'Holdings Sheet'!D11</f>
        <v>1028.1032653061225</v>
      </c>
      <c r="D5">
        <f ca="1">'Active Portfolio'!B3</f>
        <v>1174.5999999999999</v>
      </c>
      <c r="E5">
        <f>B5*C5</f>
        <v>50377.06</v>
      </c>
      <c r="F5">
        <f ca="1">B5*D5</f>
        <v>57555.399999999994</v>
      </c>
      <c r="G5" s="6">
        <f ca="1">F5-E5</f>
        <v>7178.3399999999965</v>
      </c>
      <c r="H5" s="33">
        <f ca="1">(Table3[[#This Row],[Market Value]]-Table3[[#This Row],[Total Cost]])/Table3[[#This Row],[Total Cost]]</f>
        <v>0.14249223753827628</v>
      </c>
    </row>
    <row r="6" spans="1:8" x14ac:dyDescent="0.25">
      <c r="A6" s="32" t="s">
        <v>118</v>
      </c>
      <c r="B6">
        <f>'Holdings Sheet'!C14</f>
        <v>199</v>
      </c>
      <c r="C6" s="6">
        <f>'Holdings Sheet'!D14</f>
        <v>69.495979899497485</v>
      </c>
      <c r="D6" s="6">
        <f ca="1">'Active Portfolio'!B18</f>
        <v>78.22</v>
      </c>
      <c r="E6">
        <f>B6*C6</f>
        <v>13829.699999999999</v>
      </c>
      <c r="F6">
        <f ca="1">B6*D6</f>
        <v>15565.78</v>
      </c>
      <c r="G6">
        <f ca="1">F6-E6</f>
        <v>1736.0800000000017</v>
      </c>
      <c r="H6" s="33">
        <f ca="1">(Table3[[#This Row],[Market Value]]-Table3[[#This Row],[Total Cost]])/Table3[[#This Row],[Total Cost]]</f>
        <v>0.12553273028337578</v>
      </c>
    </row>
    <row r="7" spans="1:8" x14ac:dyDescent="0.25">
      <c r="A7" t="s">
        <v>22</v>
      </c>
      <c r="B7">
        <f>'Holdings Sheet'!C7</f>
        <v>297</v>
      </c>
      <c r="C7" s="6">
        <f>'Holdings Sheet'!D7</f>
        <v>173.90966329966329</v>
      </c>
      <c r="D7" s="6">
        <f ca="1">'Active Portfolio'!B5</f>
        <v>193.42</v>
      </c>
      <c r="E7">
        <f>B7*C7</f>
        <v>51651.17</v>
      </c>
      <c r="F7">
        <f ca="1">B7*D7</f>
        <v>57445.74</v>
      </c>
      <c r="G7" s="6">
        <f ca="1">F7-E7</f>
        <v>5794.57</v>
      </c>
      <c r="H7" s="33">
        <f ca="1">(Table3[[#This Row],[Market Value]]-Table3[[#This Row],[Total Cost]])/Table3[[#This Row],[Total Cost]]</f>
        <v>0.11218661648903597</v>
      </c>
    </row>
    <row r="8" spans="1:8" x14ac:dyDescent="0.25">
      <c r="A8" t="s">
        <v>89</v>
      </c>
      <c r="B8">
        <f>'Holdings Sheet'!C5</f>
        <v>65</v>
      </c>
      <c r="C8" s="6">
        <f>'Holdings Sheet'!D5</f>
        <v>391.83646153846155</v>
      </c>
      <c r="D8" s="6">
        <f ca="1">'Active Portfolio'!B10</f>
        <v>432.94</v>
      </c>
      <c r="E8">
        <f>B8*C8</f>
        <v>25469.37</v>
      </c>
      <c r="F8">
        <f ca="1">B8*D8</f>
        <v>28141.1</v>
      </c>
      <c r="G8">
        <f ca="1">F8-E8</f>
        <v>2671.7299999999996</v>
      </c>
      <c r="H8" s="33">
        <f ca="1">(Table3[[#This Row],[Market Value]]-Table3[[#This Row],[Total Cost]])/Table3[[#This Row],[Total Cost]]</f>
        <v>0.10489972857593256</v>
      </c>
    </row>
    <row r="9" spans="1:8" x14ac:dyDescent="0.25">
      <c r="A9" t="s">
        <v>97</v>
      </c>
      <c r="B9">
        <f>'Holdings Sheet'!C15</f>
        <v>94</v>
      </c>
      <c r="C9" s="6">
        <f>'Holdings Sheet'!D15</f>
        <v>514.79999999999995</v>
      </c>
      <c r="D9" s="6">
        <f ca="1">'Active Portfolio'!B15</f>
        <v>568.14</v>
      </c>
      <c r="E9">
        <f>B9*C9</f>
        <v>48391.199999999997</v>
      </c>
      <c r="F9">
        <f ca="1">B9*D9</f>
        <v>53405.159999999996</v>
      </c>
      <c r="G9" s="6">
        <f ca="1">F9-E9</f>
        <v>5013.9599999999991</v>
      </c>
      <c r="H9" s="33">
        <f ca="1">(Table3[[#This Row],[Market Value]]-Table3[[#This Row],[Total Cost]])/Table3[[#This Row],[Total Cost]]</f>
        <v>0.1036130536130536</v>
      </c>
    </row>
    <row r="10" spans="1:8" x14ac:dyDescent="0.25">
      <c r="A10" t="s">
        <v>28</v>
      </c>
      <c r="B10">
        <f>'Holdings Sheet'!C9</f>
        <v>251</v>
      </c>
      <c r="C10" s="6">
        <f>'Holdings Sheet'!D9</f>
        <v>271.7551394422311</v>
      </c>
      <c r="D10" s="6">
        <f ca="1">'Active Portfolio'!B6</f>
        <v>298.27999999999997</v>
      </c>
      <c r="E10">
        <f>B10*C10</f>
        <v>68210.540000000008</v>
      </c>
      <c r="F10">
        <f ca="1">B10*D10</f>
        <v>74868.28</v>
      </c>
      <c r="G10" s="6">
        <f ca="1">F10-E10</f>
        <v>6657.7399999999907</v>
      </c>
      <c r="H10" s="33">
        <f ca="1">(Table3[[#This Row],[Market Value]]-Table3[[#This Row],[Total Cost]])/Table3[[#This Row],[Total Cost]]</f>
        <v>9.7605736591441589E-2</v>
      </c>
    </row>
    <row r="11" spans="1:8" x14ac:dyDescent="0.25">
      <c r="A11" t="s">
        <v>99</v>
      </c>
      <c r="B11">
        <f>'Holdings Sheet'!C16</f>
        <v>31</v>
      </c>
      <c r="C11" s="6">
        <f>'Holdings Sheet'!D16</f>
        <v>588.14</v>
      </c>
      <c r="D11" s="6">
        <f ca="1">'Active Portfolio'!B14</f>
        <v>636.94000000000005</v>
      </c>
      <c r="E11">
        <f>B11*C11</f>
        <v>18232.34</v>
      </c>
      <c r="F11">
        <f ca="1">B11*D11</f>
        <v>19745.140000000003</v>
      </c>
      <c r="G11">
        <f ca="1">F11-E11</f>
        <v>1512.8000000000029</v>
      </c>
      <c r="H11" s="33">
        <f ca="1">(Table3[[#This Row],[Market Value]]-Table3[[#This Row],[Total Cost]])/Table3[[#This Row],[Total Cost]]</f>
        <v>8.2973441697555161E-2</v>
      </c>
    </row>
    <row r="12" spans="1:8" x14ac:dyDescent="0.25">
      <c r="A12" t="s">
        <v>95</v>
      </c>
      <c r="B12">
        <f>'Holdings Sheet'!C8</f>
        <v>169</v>
      </c>
      <c r="C12" s="6">
        <f>'Holdings Sheet'!D8</f>
        <v>154.76343195266273</v>
      </c>
      <c r="D12" s="6">
        <f ca="1">'Active Portfolio'!B13</f>
        <v>166.22</v>
      </c>
      <c r="E12">
        <f>B12*C12</f>
        <v>26155.02</v>
      </c>
      <c r="F12">
        <f ca="1">B12*D12</f>
        <v>28091.18</v>
      </c>
      <c r="G12" s="6">
        <f ca="1">F12-E12</f>
        <v>1936.1599999999999</v>
      </c>
      <c r="H12" s="33">
        <f ca="1">(Table3[[#This Row],[Market Value]]-Table3[[#This Row],[Total Cost]])/Table3[[#This Row],[Total Cost]]</f>
        <v>7.4026324583196648E-2</v>
      </c>
    </row>
    <row r="13" spans="1:8" x14ac:dyDescent="0.25">
      <c r="A13" t="s">
        <v>91</v>
      </c>
      <c r="B13">
        <f>'Holdings Sheet'!C4</f>
        <v>141</v>
      </c>
      <c r="C13" s="6">
        <f>'Holdings Sheet'!D4</f>
        <v>217.5140425531915</v>
      </c>
      <c r="D13" s="6">
        <f ca="1">'Active Portfolio'!B11</f>
        <v>232.79</v>
      </c>
      <c r="E13">
        <f>B13*C13</f>
        <v>30669.480000000003</v>
      </c>
      <c r="F13">
        <f ca="1">B13*D13</f>
        <v>32823.39</v>
      </c>
      <c r="G13">
        <f ca="1">F13-E13</f>
        <v>2153.9099999999962</v>
      </c>
      <c r="H13" s="33">
        <f ca="1">(Table3[[#This Row],[Market Value]]-Table3[[#This Row],[Total Cost]])/Table3[[#This Row],[Total Cost]]</f>
        <v>7.0229752835717987E-2</v>
      </c>
    </row>
    <row r="14" spans="1:8" x14ac:dyDescent="0.25">
      <c r="A14" t="s">
        <v>40</v>
      </c>
      <c r="B14">
        <f>'Holdings Sheet'!C17</f>
        <v>1513</v>
      </c>
      <c r="C14" s="6">
        <f>'Holdings Sheet'!D17</f>
        <v>67.399887640449421</v>
      </c>
      <c r="D14" s="6">
        <f ca="1">'Active Portfolio'!B7</f>
        <v>69.569999999999993</v>
      </c>
      <c r="E14">
        <f>B14*C14</f>
        <v>101976.02999999997</v>
      </c>
      <c r="F14">
        <f ca="1">B14*D14</f>
        <v>105259.40999999999</v>
      </c>
      <c r="G14">
        <f ca="1">F14-E14</f>
        <v>3283.3800000000192</v>
      </c>
      <c r="H14" s="33">
        <f ca="1">(Table3[[#This Row],[Market Value]]-Table3[[#This Row],[Total Cost]])/Table3[[#This Row],[Total Cost]]</f>
        <v>3.2197566428110801E-2</v>
      </c>
    </row>
    <row r="15" spans="1:8" x14ac:dyDescent="0.25">
      <c r="A15" s="26" t="s">
        <v>165</v>
      </c>
      <c r="B15">
        <f>'Holdings Sheet'!C20</f>
        <v>20</v>
      </c>
      <c r="C15" s="6">
        <f>'Holdings Sheet'!D20</f>
        <v>557.82000000000005</v>
      </c>
      <c r="D15" s="6">
        <f ca="1">'Active Portfolio'!B20</f>
        <v>568.28</v>
      </c>
      <c r="E15">
        <f>B15*C15</f>
        <v>11156.400000000001</v>
      </c>
      <c r="F15">
        <f ca="1">B15*D15</f>
        <v>11365.599999999999</v>
      </c>
      <c r="G15" s="6">
        <f ca="1">F15-E15</f>
        <v>209.19999999999709</v>
      </c>
      <c r="H15" s="33">
        <f ca="1">(Table3[[#This Row],[Market Value]]-Table3[[#This Row],[Total Cost]])/Table3[[#This Row],[Total Cost]]</f>
        <v>1.8751568606360212E-2</v>
      </c>
    </row>
    <row r="16" spans="1:8" x14ac:dyDescent="0.25">
      <c r="A16" t="s">
        <v>87</v>
      </c>
      <c r="B16" s="16">
        <f>'Holdings Sheet'!C18</f>
        <v>174</v>
      </c>
      <c r="C16" s="6">
        <f>'Holdings Sheet'!D18</f>
        <v>109.70448275862068</v>
      </c>
      <c r="D16" s="6">
        <f ca="1">'Active Portfolio'!B9</f>
        <v>111.44</v>
      </c>
      <c r="E16">
        <f>B16*C16</f>
        <v>19088.579999999998</v>
      </c>
      <c r="F16">
        <f ca="1">B16*D16</f>
        <v>19390.560000000001</v>
      </c>
      <c r="G16" s="6">
        <f ca="1">F16-E16</f>
        <v>301.9800000000032</v>
      </c>
      <c r="H16" s="33">
        <f ca="1">(Table3[[#This Row],[Market Value]]-Table3[[#This Row],[Total Cost]])/Table3[[#This Row],[Total Cost]]</f>
        <v>1.5819930031464008E-2</v>
      </c>
    </row>
    <row r="17" spans="1:8" x14ac:dyDescent="0.25">
      <c r="A17" s="32" t="s">
        <v>117</v>
      </c>
      <c r="B17">
        <f>'Holdings Sheet'!C10</f>
        <v>236</v>
      </c>
      <c r="C17" s="6">
        <f>'Holdings Sheet'!D10</f>
        <v>225.86050847457625</v>
      </c>
      <c r="D17" s="6">
        <f ca="1">'Active Portfolio'!B17</f>
        <v>228.48</v>
      </c>
      <c r="E17">
        <f>B17*C17</f>
        <v>53303.079999999994</v>
      </c>
      <c r="F17">
        <f ca="1">B17*D17</f>
        <v>53921.279999999999</v>
      </c>
      <c r="G17" s="6">
        <f ca="1">F17-E17</f>
        <v>618.20000000000437</v>
      </c>
      <c r="H17" s="33">
        <f ca="1">(Table3[[#This Row],[Market Value]]-Table3[[#This Row],[Total Cost]])/Table3[[#This Row],[Total Cost]]</f>
        <v>1.1597828868425697E-2</v>
      </c>
    </row>
    <row r="18" spans="1:8" x14ac:dyDescent="0.25">
      <c r="A18" t="s">
        <v>100</v>
      </c>
      <c r="B18">
        <f>'Holdings Sheet'!C3</f>
        <v>147</v>
      </c>
      <c r="C18" s="6">
        <f>'Holdings Sheet'!D3</f>
        <v>212.11918367346939</v>
      </c>
      <c r="D18" s="6">
        <f ca="1">'Active Portfolio'!B12</f>
        <v>214.05</v>
      </c>
      <c r="E18">
        <f>B18*C18</f>
        <v>31181.52</v>
      </c>
      <c r="F18">
        <f ca="1">B18*D18</f>
        <v>31465.350000000002</v>
      </c>
      <c r="G18" s="6">
        <f ca="1">F18-E18</f>
        <v>283.83000000000175</v>
      </c>
      <c r="H18" s="33">
        <f ca="1">(Table3[[#This Row],[Market Value]]-Table3[[#This Row],[Total Cost]])/Table3[[#This Row],[Total Cost]]</f>
        <v>9.102506869453502E-3</v>
      </c>
    </row>
    <row r="19" spans="1:8" x14ac:dyDescent="0.25">
      <c r="A19" s="26" t="s">
        <v>168</v>
      </c>
      <c r="B19">
        <f>'Holdings Sheet'!C21</f>
        <v>32</v>
      </c>
      <c r="C19" s="6">
        <f>'Holdings Sheet'!D21</f>
        <v>353</v>
      </c>
      <c r="D19" s="6">
        <f ca="1">'Active Portfolio'!B21</f>
        <v>355.47</v>
      </c>
      <c r="E19">
        <f>B19*C19</f>
        <v>11296</v>
      </c>
      <c r="F19">
        <f ca="1">B19*D19</f>
        <v>11375.04</v>
      </c>
      <c r="G19" s="6">
        <f ca="1">F19-E19</f>
        <v>79.040000000000873</v>
      </c>
      <c r="H19" s="33">
        <f ca="1">(Table3[[#This Row],[Market Value]]-Table3[[#This Row],[Total Cost]])/Table3[[#This Row],[Total Cost]]</f>
        <v>6.9971671388102752E-3</v>
      </c>
    </row>
    <row r="20" spans="1:8" x14ac:dyDescent="0.25">
      <c r="A20" s="26" t="s">
        <v>148</v>
      </c>
      <c r="B20">
        <f>'Holdings Sheet'!C19</f>
        <v>190</v>
      </c>
      <c r="C20" s="6">
        <f>'Holdings Sheet'!D19</f>
        <v>216.99</v>
      </c>
      <c r="D20" s="6">
        <f ca="1">'Active Portfolio'!B19</f>
        <v>218.27</v>
      </c>
      <c r="E20">
        <f>B20*C20</f>
        <v>41228.1</v>
      </c>
      <c r="F20">
        <f ca="1">B20*D20</f>
        <v>41471.300000000003</v>
      </c>
      <c r="G20" s="6">
        <f ca="1">F20-E20</f>
        <v>243.20000000000437</v>
      </c>
      <c r="H20" s="33">
        <f ca="1">(Table3[[#This Row],[Market Value]]-Table3[[#This Row],[Total Cost]])/Table3[[#This Row],[Total Cost]]</f>
        <v>5.8988893497397251E-3</v>
      </c>
    </row>
    <row r="21" spans="1:8" x14ac:dyDescent="0.25">
      <c r="A21" t="s">
        <v>135</v>
      </c>
      <c r="B21">
        <f>SUBTOTAL(109,Table3[Shares Held])</f>
        <v>4251</v>
      </c>
      <c r="E21">
        <f>SUBTOTAL(109,Table3[Total Cost])</f>
        <v>688514.96</v>
      </c>
      <c r="F21">
        <f ca="1">SUBTOTAL(109,Table3[Market Value])</f>
        <v>754670.76000000013</v>
      </c>
      <c r="G21" s="51">
        <f ca="1">Table3[[#Totals],[Market Value]]/Table3[[#Totals],[Total Cost]]-1</f>
        <v>9.6084767715141739E-2</v>
      </c>
      <c r="H21" s="34">
        <f ca="1">SUBTOTAL(109,Table3[% Return])</f>
        <v>1.9162444860968959</v>
      </c>
    </row>
    <row r="23" spans="1:8" x14ac:dyDescent="0.25">
      <c r="D23" t="s">
        <v>55</v>
      </c>
    </row>
  </sheetData>
  <conditionalFormatting sqref="G21">
    <cfRule type="cellIs" dxfId="190" priority="12" operator="lessThan">
      <formula>0</formula>
    </cfRule>
    <cfRule type="expression" dxfId="189" priority="13">
      <formula>AND($H$21&gt;=0, $H$21&lt;=0.0299)</formula>
    </cfRule>
    <cfRule type="cellIs" dxfId="188" priority="14" operator="greaterThanOrEqual">
      <formula>0.03</formula>
    </cfRule>
  </conditionalFormatting>
  <conditionalFormatting sqref="H2">
    <cfRule type="expression" dxfId="187" priority="33">
      <formula>AND($H$2&gt;=0, $H$2&lt;=0.03)</formula>
    </cfRule>
  </conditionalFormatting>
  <conditionalFormatting sqref="H2:H20">
    <cfRule type="cellIs" dxfId="186" priority="34" operator="lessThan">
      <formula>0</formula>
    </cfRule>
    <cfRule type="expression" dxfId="185" priority="35">
      <formula>"and($H$4&gt;=0, $H$4&lt;=.03)"</formula>
    </cfRule>
    <cfRule type="cellIs" dxfId="184" priority="36" operator="greaterThan">
      <formula>0.03</formula>
    </cfRule>
  </conditionalFormatting>
  <conditionalFormatting sqref="H3">
    <cfRule type="expression" dxfId="183" priority="32">
      <formula>AND($H$3&gt;=0, $H$3&lt;=0.03)</formula>
    </cfRule>
  </conditionalFormatting>
  <conditionalFormatting sqref="H4">
    <cfRule type="expression" dxfId="182" priority="31">
      <formula>AND($H$4&gt;=0, $H$4&lt;=0.03)</formula>
    </cfRule>
  </conditionalFormatting>
  <conditionalFormatting sqref="H5">
    <cfRule type="expression" dxfId="181" priority="30">
      <formula>AND($H$5&gt;=0, $H$5&lt;=0.03)</formula>
    </cfRule>
  </conditionalFormatting>
  <conditionalFormatting sqref="H6">
    <cfRule type="expression" dxfId="180" priority="29">
      <formula>AND($H$6&gt;=0, $H$6&lt;=0.03)</formula>
    </cfRule>
  </conditionalFormatting>
  <conditionalFormatting sqref="H7">
    <cfRule type="expression" dxfId="179" priority="28">
      <formula>AND($H$7&gt;=0, $H$7&lt;=0.03)</formula>
    </cfRule>
  </conditionalFormatting>
  <conditionalFormatting sqref="H8">
    <cfRule type="expression" dxfId="178" priority="27">
      <formula>AND($H$8&gt;=0, $H$8&lt;=0.03)</formula>
    </cfRule>
  </conditionalFormatting>
  <conditionalFormatting sqref="H9">
    <cfRule type="expression" dxfId="177" priority="26">
      <formula>AND($H$9&gt;=0, $H$9&lt;=0.03)</formula>
    </cfRule>
  </conditionalFormatting>
  <conditionalFormatting sqref="H10">
    <cfRule type="expression" dxfId="176" priority="25">
      <formula>AND($H$10&gt;=0, $H$10&lt;=0.03)</formula>
    </cfRule>
  </conditionalFormatting>
  <conditionalFormatting sqref="H11">
    <cfRule type="expression" dxfId="175" priority="24">
      <formula>AND($H$11&gt;=0, $H$11&lt;=0.03)</formula>
    </cfRule>
  </conditionalFormatting>
  <conditionalFormatting sqref="H12">
    <cfRule type="expression" dxfId="174" priority="23">
      <formula>AND($H$12&gt;=0, $H$12&lt;=0.03)</formula>
    </cfRule>
  </conditionalFormatting>
  <conditionalFormatting sqref="H13">
    <cfRule type="expression" dxfId="173" priority="22">
      <formula>AND($H$13&gt;=0, $H$13&lt;=0.03)</formula>
    </cfRule>
  </conditionalFormatting>
  <conditionalFormatting sqref="H14">
    <cfRule type="expression" dxfId="172" priority="21">
      <formula>AND($H$14&gt;=0, $H$14&lt;=0.03)</formula>
    </cfRule>
  </conditionalFormatting>
  <conditionalFormatting sqref="H15">
    <cfRule type="expression" dxfId="171" priority="20">
      <formula>AND($H$15&gt;=0, $H$15&lt;=0.03)</formula>
    </cfRule>
  </conditionalFormatting>
  <conditionalFormatting sqref="H16">
    <cfRule type="expression" dxfId="170" priority="15">
      <formula>AND($H$16&gt;=0, $H$16&lt;=0.03)</formula>
    </cfRule>
  </conditionalFormatting>
  <conditionalFormatting sqref="H17">
    <cfRule type="expression" dxfId="169" priority="17">
      <formula>AND($H$17&gt;=0, $H$17&lt;=0.03)</formula>
    </cfRule>
  </conditionalFormatting>
  <conditionalFormatting sqref="H18">
    <cfRule type="expression" dxfId="168" priority="10">
      <formula>AND($H$18&gt;=0, $H$18&lt;=0.0299)</formula>
    </cfRule>
    <cfRule type="cellIs" dxfId="167" priority="11" operator="greaterThan">
      <formula>0.03</formula>
    </cfRule>
  </conditionalFormatting>
  <conditionalFormatting sqref="H18:H19">
    <cfRule type="cellIs" dxfId="166" priority="7" operator="lessThan">
      <formula>0</formula>
    </cfRule>
  </conditionalFormatting>
  <conditionalFormatting sqref="H19">
    <cfRule type="expression" dxfId="165" priority="5">
      <formula>AND($H$119&gt;=0, $H$19&lt;=0.03)</formula>
    </cfRule>
    <cfRule type="expression" dxfId="164" priority="8">
      <formula>AND($H$14&gt;=0, $H$14&lt;=0.03)</formula>
    </cfRule>
  </conditionalFormatting>
  <conditionalFormatting sqref="H19:H20">
    <cfRule type="cellIs" dxfId="163" priority="2" operator="greaterThan">
      <formula>0.03</formula>
    </cfRule>
  </conditionalFormatting>
  <conditionalFormatting sqref="H20">
    <cfRule type="cellIs" dxfId="162" priority="1" operator="lessThan">
      <formula>0</formula>
    </cfRule>
    <cfRule type="expression" dxfId="161" priority="4">
      <formula>AND($H$19&gt;=0, $H$19&lt;=0.03)</formula>
    </cfRule>
    <cfRule type="cellIs" priority="6"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067C-8E5A-4239-A975-F07DB709470B}">
  <dimension ref="A1:B16"/>
  <sheetViews>
    <sheetView workbookViewId="0">
      <selection activeCell="D13" sqref="D13"/>
    </sheetView>
  </sheetViews>
  <sheetFormatPr defaultRowHeight="15" x14ac:dyDescent="0.25"/>
  <cols>
    <col min="1" max="1" width="31.140625" bestFit="1" customWidth="1"/>
    <col min="2" max="2" width="27.5703125" customWidth="1"/>
    <col min="3" max="3" width="33.42578125" customWidth="1"/>
    <col min="4" max="4" width="29.85546875" customWidth="1"/>
  </cols>
  <sheetData>
    <row r="1" spans="1:2" x14ac:dyDescent="0.25">
      <c r="A1" s="30" t="s">
        <v>71</v>
      </c>
      <c r="B1" s="30" t="s">
        <v>72</v>
      </c>
    </row>
    <row r="2" spans="1:2" x14ac:dyDescent="0.25">
      <c r="A2" t="s">
        <v>73</v>
      </c>
      <c r="B2" s="23">
        <f ca="1">TODAY()</f>
        <v>45866</v>
      </c>
    </row>
    <row r="3" spans="1:2" x14ac:dyDescent="0.25">
      <c r="A3" t="s">
        <v>74</v>
      </c>
      <c r="B3" s="19">
        <v>1065952.42</v>
      </c>
    </row>
    <row r="4" spans="1:2" x14ac:dyDescent="0.25">
      <c r="A4" t="s">
        <v>75</v>
      </c>
      <c r="B4" s="19">
        <v>363102.99</v>
      </c>
    </row>
    <row r="5" spans="1:2" x14ac:dyDescent="0.25">
      <c r="A5" t="s">
        <v>76</v>
      </c>
      <c r="B5" s="20">
        <f>B3-B4</f>
        <v>702849.42999999993</v>
      </c>
    </row>
    <row r="6" spans="1:2" x14ac:dyDescent="0.25">
      <c r="A6" t="s">
        <v>77</v>
      </c>
    </row>
    <row r="7" spans="1:2" x14ac:dyDescent="0.25">
      <c r="A7" t="s">
        <v>130</v>
      </c>
      <c r="B7" s="22" t="str">
        <f ca="1">INDEX('Holdings Sheet'!A3:A21,MATCH(MAX('Holdings Sheet'!G3:G21),'Holdings Sheet'!G3:G21,0)) &amp; "-" &amp; TEXT(MAX('Holdings Sheet'!G3:G21), "0.00%")</f>
        <v>VXUS-9.87%</v>
      </c>
    </row>
    <row r="8" spans="1:2" x14ac:dyDescent="0.25">
      <c r="A8" t="s">
        <v>131</v>
      </c>
      <c r="B8" s="22" t="str">
        <f ca="1">INDEX('Holdings Sheet'!A3:A21,MATCH(MIN('Holdings Sheet'!G3:G21), 'Holdings Sheet'!G3:G21,0)) &amp; "-" &amp; TEXT(MIN('Holdings Sheet'!G3:G21),"0.00%")</f>
        <v>MA-1.07%</v>
      </c>
    </row>
    <row r="9" spans="1:2" x14ac:dyDescent="0.25">
      <c r="A9" t="s">
        <v>78</v>
      </c>
      <c r="B9" s="15">
        <f ca="1">AVERAGE('Holdings Sheet'!G7)</f>
        <v>5.3891467313334683E-2</v>
      </c>
    </row>
    <row r="10" spans="1:2" x14ac:dyDescent="0.25">
      <c r="A10" t="s">
        <v>79</v>
      </c>
      <c r="B10" s="15">
        <f ca="1">'Holdings Sheet'!F18 /B3</f>
        <v>1.8190830693925346E-2</v>
      </c>
    </row>
    <row r="11" spans="1:2" x14ac:dyDescent="0.25">
      <c r="A11" t="s">
        <v>80</v>
      </c>
      <c r="B11" s="19">
        <v>1456.57</v>
      </c>
    </row>
    <row r="13" spans="1:2" x14ac:dyDescent="0.25">
      <c r="A13" s="3" t="s">
        <v>82</v>
      </c>
    </row>
    <row r="14" spans="1:2" x14ac:dyDescent="0.25">
      <c r="A14" t="s">
        <v>83</v>
      </c>
      <c r="B14" s="2">
        <v>3121.49</v>
      </c>
    </row>
    <row r="15" spans="1:2" x14ac:dyDescent="0.25">
      <c r="A15" t="s">
        <v>84</v>
      </c>
      <c r="B15" s="2">
        <v>13720.7</v>
      </c>
    </row>
    <row r="16" spans="1:2" x14ac:dyDescent="0.25">
      <c r="A16" t="s">
        <v>85</v>
      </c>
      <c r="B16" s="2">
        <f>SUM(B14:B15)</f>
        <v>16842.190000000002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63D6A-519C-4AEC-93ED-AFF91A09B51A}">
  <dimension ref="A1:M21"/>
  <sheetViews>
    <sheetView tabSelected="1" topLeftCell="D2" workbookViewId="0">
      <selection activeCell="I10" sqref="I10"/>
    </sheetView>
  </sheetViews>
  <sheetFormatPr defaultRowHeight="15" x14ac:dyDescent="0.25"/>
  <cols>
    <col min="1" max="1" width="48.5703125" customWidth="1"/>
    <col min="2" max="2" width="15.85546875" customWidth="1"/>
    <col min="3" max="3" width="13.140625" customWidth="1"/>
    <col min="4" max="4" width="10" bestFit="1" customWidth="1"/>
    <col min="5" max="5" width="12.5703125" customWidth="1"/>
    <col min="6" max="6" width="14" bestFit="1" customWidth="1"/>
    <col min="7" max="7" width="39.42578125" customWidth="1"/>
    <col min="8" max="8" width="34.5703125" customWidth="1"/>
    <col min="9" max="9" width="44.85546875" customWidth="1"/>
    <col min="10" max="10" width="33" customWidth="1"/>
    <col min="11" max="11" width="21" customWidth="1"/>
    <col min="12" max="12" width="19.7109375" customWidth="1"/>
    <col min="13" max="13" width="18.42578125" customWidth="1"/>
  </cols>
  <sheetData>
    <row r="1" spans="1:13" hidden="1" x14ac:dyDescent="0.25">
      <c r="A1" s="12" t="s">
        <v>43</v>
      </c>
      <c r="B1" s="52" t="s">
        <v>44</v>
      </c>
      <c r="C1" s="52"/>
    </row>
    <row r="2" spans="1:13" x14ac:dyDescent="0.25">
      <c r="A2" s="11" t="s">
        <v>55</v>
      </c>
      <c r="B2" s="11" t="s">
        <v>4</v>
      </c>
      <c r="C2" s="11" t="s">
        <v>1</v>
      </c>
      <c r="D2" s="11" t="s">
        <v>2</v>
      </c>
      <c r="E2" s="11" t="s">
        <v>149</v>
      </c>
      <c r="F2" s="11" t="s">
        <v>3</v>
      </c>
      <c r="G2" s="11" t="s">
        <v>5</v>
      </c>
      <c r="H2" s="11" t="s">
        <v>6</v>
      </c>
      <c r="I2" s="11" t="s">
        <v>7</v>
      </c>
      <c r="J2" s="11" t="s">
        <v>34</v>
      </c>
      <c r="K2" s="11" t="s">
        <v>39</v>
      </c>
      <c r="L2" s="9"/>
      <c r="M2" s="3" t="s">
        <v>25</v>
      </c>
    </row>
    <row r="3" spans="1:13" x14ac:dyDescent="0.25">
      <c r="A3" s="9" t="e" vm="1">
        <v>#VALUE!</v>
      </c>
      <c r="B3" s="1" cm="1">
        <f t="array" aca="1" ref="B3" ca="1">_FV(A3,"Price")</f>
        <v>1174.5999999999999</v>
      </c>
      <c r="C3" s="1" cm="1">
        <f t="array" aca="1" ref="C3" ca="1">_FV(A3,"52 week high",TRUE)</f>
        <v>1341.15</v>
      </c>
      <c r="D3" s="1" cm="1">
        <f t="array" aca="1" ref="D3" ca="1">_FV(A3,"52 week low",TRUE)</f>
        <v>587.04</v>
      </c>
      <c r="E3" s="49" cm="1">
        <f t="array" aca="1" ref="E3" ca="1">_FV(A3,"Volume")</f>
        <v>3446958</v>
      </c>
      <c r="F3" s="1" cm="1">
        <f t="array" aca="1" ref="F3" ca="1">_FV(A3,"Previous close",TRUE)</f>
        <v>1180.49</v>
      </c>
      <c r="G3" t="str">
        <f ca="1">IF(B3&gt;=1240,"New 52W High Breakout","")</f>
        <v/>
      </c>
      <c r="H3" t="str">
        <f ca="1">IF(AND(B3&gt;=1200,B3&lt;=1235),"Pullback Opportunity","")</f>
        <v/>
      </c>
      <c r="I3" t="str">
        <f ca="1">IF(AND(B3&gt;=1150,B3&lt;1200),"Test of Trailing Stop Zone","")</f>
        <v>Test of Trailing Stop Zone</v>
      </c>
      <c r="J3" t="str">
        <f ca="1">IF(B3&lt;=1149,"Triggered Stop Loss Zone","")</f>
        <v/>
      </c>
      <c r="L3" s="10"/>
      <c r="M3" t="s">
        <v>26</v>
      </c>
    </row>
    <row r="4" spans="1:13" x14ac:dyDescent="0.25">
      <c r="A4" s="9" t="e" vm="2">
        <v>#VALUE!</v>
      </c>
      <c r="B4" s="6" cm="1">
        <f t="array" aca="1" ref="B4" ca="1">_FV(A4,"Price")</f>
        <v>176.75</v>
      </c>
      <c r="C4" s="6" cm="1">
        <f t="array" aca="1" ref="C4" ca="1">_FV(A4,"52 week high",TRUE)</f>
        <v>177</v>
      </c>
      <c r="D4" s="6" cm="1">
        <f t="array" aca="1" ref="D4" ca="1">_FV(A4,"52 week low",TRUE)</f>
        <v>86.62</v>
      </c>
      <c r="E4" s="49" cm="1">
        <f t="array" aca="1" ref="E4" ca="1">_FV(A4,"Volume")</f>
        <v>140023521</v>
      </c>
      <c r="F4" s="6" cm="1">
        <f t="array" aca="1" ref="F4" ca="1">_FV(A4,"Previous close",TRUE)</f>
        <v>173.5</v>
      </c>
      <c r="G4" t="str">
        <f ca="1">IF(AND(B4&gt;=165, B4&lt;=166.32), "Breakout!", " ")</f>
        <v xml:space="preserve"> </v>
      </c>
      <c r="H4" t="str">
        <f ca="1">IF(B4&gt;=166.33, "Trim Alert", " ")</f>
        <v>Trim Alert</v>
      </c>
      <c r="I4" t="str">
        <f ca="1">IF(AND(B4&lt;=155,B4&gt;=145), "Dip Buy Opportunity", "")</f>
        <v/>
      </c>
      <c r="J4" t="str">
        <f ca="1">IF(B4&lt;=156.63, "Stop Loss Trigger", "")</f>
        <v/>
      </c>
      <c r="L4" s="8"/>
      <c r="M4" t="s">
        <v>27</v>
      </c>
    </row>
    <row r="5" spans="1:13" x14ac:dyDescent="0.25">
      <c r="A5" s="9" t="e" vm="3">
        <v>#VALUE!</v>
      </c>
      <c r="B5" s="6" cm="1">
        <f t="array" aca="1" ref="B5" ca="1">_FV(A5,"Price")</f>
        <v>193.42</v>
      </c>
      <c r="C5" s="6" cm="1">
        <f t="array" aca="1" ref="C5" ca="1">_FV(A5,"52 week high",TRUE)</f>
        <v>208.7</v>
      </c>
      <c r="D5" s="6" cm="1">
        <f t="array" aca="1" ref="D5" ca="1">_FV(A5,"52 week low",TRUE)</f>
        <v>142.66</v>
      </c>
      <c r="E5" s="49" cm="1">
        <f t="array" aca="1" ref="E5" ca="1">_FV(A5,"Volume")</f>
        <v>25553546</v>
      </c>
      <c r="F5" s="6" cm="1">
        <f t="array" aca="1" ref="F5" ca="1">_FV(A5,"Previous close",TRUE)</f>
        <v>194.08</v>
      </c>
      <c r="G5" t="str">
        <f ca="1">IF(B5&gt;=182, "Watch for Breakout Zone", " ")</f>
        <v>Watch for Breakout Zone</v>
      </c>
      <c r="H5" t="str">
        <f ca="1">IF(AND(B5&lt;=168, B5&gt;=162), "Dip Buy Opportunit", " ")</f>
        <v xml:space="preserve"> </v>
      </c>
      <c r="J5" t="str">
        <f ca="1">IF(B5&lt;=164.4, "Stop Loss Trigger", "")</f>
        <v/>
      </c>
    </row>
    <row r="6" spans="1:13" x14ac:dyDescent="0.25">
      <c r="A6" s="9" t="e" vm="4">
        <v>#VALUE!</v>
      </c>
      <c r="B6" s="6" cm="1">
        <f t="array" aca="1" ref="B6" ca="1">_FV(A6,"Price")</f>
        <v>298.27999999999997</v>
      </c>
      <c r="C6" s="6" cm="1">
        <f t="array" aca="1" ref="C6" ca="1">_FV(A6,"52 week high",TRUE)</f>
        <v>299.5899</v>
      </c>
      <c r="D6" s="6" cm="1">
        <f t="array" aca="1" ref="D6" ca="1">_FV(A6,"52 week low",TRUE)</f>
        <v>190.9</v>
      </c>
      <c r="E6" s="49" cm="1">
        <f t="array" aca="1" ref="E6" ca="1">_FV(A6,"Volume")</f>
        <v>5840417</v>
      </c>
      <c r="F6" s="6" cm="1">
        <f t="array" aca="1" ref="F6" ca="1">_FV(A6,"Previous close",TRUE)</f>
        <v>298.62</v>
      </c>
      <c r="G6" t="str">
        <f ca="1">IF(B6&gt;=285, "Breakout Zone")</f>
        <v>Breakout Zone</v>
      </c>
      <c r="H6" t="str">
        <f ca="1">IF(B6&gt;=ROUND(271.76*1.1,2), "Trim Opportunity / Near Target"," ")</f>
        <v xml:space="preserve"> </v>
      </c>
      <c r="I6" t="str">
        <f ca="1">IF(AND(B6&lt;=265,B6&gt;=255), "Early Dip Zone", " ")</f>
        <v xml:space="preserve"> </v>
      </c>
      <c r="J6" t="str">
        <f ca="1">IF(B6&lt;=245, "Approaching 200MA Support", " ")</f>
        <v xml:space="preserve"> </v>
      </c>
    </row>
    <row r="7" spans="1:13" x14ac:dyDescent="0.25">
      <c r="A7" s="9" t="e" vm="5">
        <v>#VALUE!</v>
      </c>
      <c r="B7" s="1" cm="1">
        <f t="array" aca="1" ref="B7" ca="1">_FV(A7,"Price")</f>
        <v>69.569999999999993</v>
      </c>
      <c r="C7" s="1" cm="1">
        <f t="array" aca="1" ref="C7" ca="1">_FV(A7,"52 week high",TRUE)</f>
        <v>71.08</v>
      </c>
      <c r="D7" s="1" cm="1">
        <f t="array" aca="1" ref="D7" ca="1">_FV(A7,"52 week low",TRUE)</f>
        <v>54.98</v>
      </c>
      <c r="E7" s="49" cm="1">
        <f t="array" aca="1" ref="E7" ca="1">_FV(A7,"Volume")</f>
        <v>4951468</v>
      </c>
      <c r="F7" s="1" cm="1">
        <f t="array" aca="1" ref="F7" ca="1">_FV(A7,"Previous close",TRUE)</f>
        <v>70.48</v>
      </c>
      <c r="G7" t="str">
        <f ca="1">IF(B7&gt;=ROUND(67.4*1.1,2), "Profit Target Reached – Review Trim", "")</f>
        <v/>
      </c>
      <c r="H7" t="str">
        <f ca="1">IF(AND(B7&gt;=67,B7&lt;=68.24), "Breakout Confirmation Zone", "")</f>
        <v/>
      </c>
      <c r="I7" t="str">
        <f ca="1">IF(AND(B7&lt;=65.5,B7&gt;=63),"First Dip Buying Oppt", " ")</f>
        <v xml:space="preserve"> </v>
      </c>
      <c r="J7" t="str">
        <f ca="1">IF(AND(C7&lt;=63,C7&gt;=61.26),"Second Dip Zone, Aggresive", " ")</f>
        <v xml:space="preserve"> </v>
      </c>
      <c r="K7" t="str">
        <f ca="1">IF(B7&lt;=61.25, "Reevaluate Position", " ")</f>
        <v xml:space="preserve"> </v>
      </c>
    </row>
    <row r="8" spans="1:13" x14ac:dyDescent="0.25">
      <c r="A8" s="9" t="e" vm="6">
        <v>#VALUE!</v>
      </c>
      <c r="B8" s="1" cm="1">
        <f t="array" aca="1" ref="B8" ca="1">_FV(A8,"Price")</f>
        <v>144.52000000000001</v>
      </c>
      <c r="C8" s="1" cm="1">
        <f t="array" aca="1" ref="C8" ca="1">_FV(A8,"52 week high",TRUE)</f>
        <v>170.52</v>
      </c>
      <c r="D8" s="1" cm="1">
        <f t="array" aca="1" ref="D8" ca="1">_FV(A8,"52 week low",TRUE)</f>
        <v>97.59</v>
      </c>
      <c r="E8" s="49" cm="1">
        <f t="array" aca="1" ref="E8" ca="1">_FV(A8,"Volume")</f>
        <v>2404202</v>
      </c>
      <c r="F8" s="1" cm="1">
        <f t="array" aca="1" ref="F8" ca="1">_FV(A8,"Previous close",TRUE)</f>
        <v>145.83000000000001</v>
      </c>
      <c r="G8" t="str">
        <f ca="1">IF(B8&gt;F8, "Above Previous Closed", " ")</f>
        <v xml:space="preserve"> </v>
      </c>
      <c r="H8" t="str">
        <f ca="1">IF(B8&gt;=132.03, " 200MA Breakout Confirmed", " ")</f>
        <v xml:space="preserve"> 200MA Breakout Confirmed</v>
      </c>
      <c r="I8" t="str">
        <f ca="1">IF(B8&gt;=ROUND(118.81*1.3,2), "Trim Zone – 30% Return", "")</f>
        <v/>
      </c>
      <c r="J8" t="str">
        <f ca="1">IF(B8&lt;=133, "Trigger Stop Loss", " ")</f>
        <v xml:space="preserve"> </v>
      </c>
    </row>
    <row r="9" spans="1:13" x14ac:dyDescent="0.25">
      <c r="A9" s="9" t="e" vm="7">
        <v>#VALUE!</v>
      </c>
      <c r="B9" s="1" cm="1">
        <f t="array" aca="1" ref="B9" ca="1">_FV(A9,"Price")</f>
        <v>111.44</v>
      </c>
      <c r="C9" s="1" cm="1">
        <f t="array" aca="1" ref="C9" ca="1">_FV(A9,"52 week high",TRUE)</f>
        <v>126.34</v>
      </c>
      <c r="D9" s="1" cm="1">
        <f t="array" aca="1" ref="D9" ca="1">_FV(A9,"52 week low",TRUE)</f>
        <v>97.8</v>
      </c>
      <c r="E9" s="49" cm="1">
        <f t="array" aca="1" ref="E9" ca="1">_FV(A9,"Volume")</f>
        <v>12352966</v>
      </c>
      <c r="F9" s="1" cm="1">
        <f t="array" aca="1" ref="F9" ca="1">_FV(A9,"Previous close",TRUE)</f>
        <v>110.4</v>
      </c>
      <c r="G9" t="str">
        <f ca="1">IF(B9&gt;=108.1, "📈 Breakout Watch", "")</f>
        <v>📈 Breakout Watch</v>
      </c>
      <c r="H9" t="str">
        <f ca="1">IF(B9&gt;=116.5, "🚀 Breakout Confirmation Zone", "")</f>
        <v/>
      </c>
      <c r="I9" t="str">
        <f ca="1">IF(B9&gt;=122, "🎯 Target Profit Zone (Trim Consideration)", "")</f>
        <v/>
      </c>
      <c r="J9" t="str">
        <f ca="1">IF(B9&lt;=103.13, "Trigger Stop Loss", " ")</f>
        <v xml:space="preserve"> </v>
      </c>
    </row>
    <row r="10" spans="1:13" x14ac:dyDescent="0.25">
      <c r="A10" s="9" t="e" vm="8">
        <v>#VALUE!</v>
      </c>
      <c r="B10" s="1" cm="1">
        <f t="array" aca="1" ref="B10" ca="1">_FV(A10,"Price")</f>
        <v>432.94</v>
      </c>
      <c r="C10" s="1" cm="1">
        <f t="array" aca="1" ref="C10" ca="1">_FV(A10,"52 week high",TRUE)</f>
        <v>436.4</v>
      </c>
      <c r="D10" s="1" cm="1">
        <f t="array" aca="1" ref="D10" ca="1">_FV(A10,"52 week low",TRUE)</f>
        <v>267.3</v>
      </c>
      <c r="E10" s="49" cm="1">
        <f t="array" aca="1" ref="E10" ca="1">_FV(A10,"Volume")</f>
        <v>2550479</v>
      </c>
      <c r="F10" s="1" cm="1">
        <f t="array" aca="1" ref="F10" ca="1">_FV(A10,"Previous close",TRUE)</f>
        <v>433.75</v>
      </c>
      <c r="G10" t="str">
        <f ca="1">IF(B10&gt;=355.15, "🚨 Broke 200 MA Resistance", "")</f>
        <v>🚨 Broke 200 MA Resistance</v>
      </c>
      <c r="H10" t="str">
        <f ca="1">IF(B10&gt;=328.56, "📈 Strong Momentum", "")</f>
        <v>📈 Strong Momentum</v>
      </c>
      <c r="I10" t="str">
        <f ca="1">IF(B10&gt;=462, "💰Trim Alert 18% Profit", "")</f>
        <v/>
      </c>
      <c r="J10" t="str">
        <f ca="1">IF(B10&lt;=382.78, "⚠️ Trigger Stop Loss", "")</f>
        <v/>
      </c>
    </row>
    <row r="11" spans="1:13" x14ac:dyDescent="0.25">
      <c r="A11" s="9" t="e" vm="9">
        <v>#VALUE!</v>
      </c>
      <c r="B11" s="1" cm="1">
        <f t="array" aca="1" ref="B11" ca="1">_FV(A11,"Price")</f>
        <v>232.79</v>
      </c>
      <c r="C11" s="1" cm="1">
        <f t="array" aca="1" ref="C11" ca="1">_FV(A11,"52 week high",TRUE)</f>
        <v>242.52</v>
      </c>
      <c r="D11" s="1" cm="1">
        <f t="array" aca="1" ref="D11" ca="1">_FV(A11,"52 week low",TRUE)</f>
        <v>151.61000000000001</v>
      </c>
      <c r="E11" s="49" cm="1">
        <f t="array" aca="1" ref="E11" ca="1">_FV(A11,"Volume")</f>
        <v>26300138</v>
      </c>
      <c r="F11" s="1" cm="1">
        <f t="array" aca="1" ref="F11" ca="1">_FV(A11,"Previous close",TRUE)</f>
        <v>231.44</v>
      </c>
      <c r="G11" t="str">
        <f ca="1">IF(B11&gt;=225, "🚀 Breakout Holding – Bullish", "")</f>
        <v>🚀 Breakout Holding – Bullish</v>
      </c>
      <c r="H11" t="str">
        <f ca="1">IF(B11&gt;=238, "📌 10% Profit Alert – Review for Trim", "")</f>
        <v/>
      </c>
      <c r="I11" t="str">
        <f ca="1">IF(B11&lt;=215, "⚠️ Below EMA20 – Caution Zone", "")</f>
        <v/>
      </c>
    </row>
    <row r="12" spans="1:13" x14ac:dyDescent="0.25">
      <c r="A12" s="9" t="e" vm="10">
        <v>#VALUE!</v>
      </c>
      <c r="B12" s="1" cm="1">
        <f t="array" aca="1" ref="B12" ca="1">_FV(A12,"Price")</f>
        <v>214.05</v>
      </c>
      <c r="C12" s="1" cm="1">
        <f t="array" aca="1" ref="C12" ca="1">_FV(A12,"52 week high",TRUE)</f>
        <v>260.10000000000002</v>
      </c>
      <c r="D12" s="1" cm="1">
        <f t="array" aca="1" ref="D12" ca="1">_FV(A12,"52 week low",TRUE)</f>
        <v>169.21010000000001</v>
      </c>
      <c r="E12" s="49" cm="1">
        <f t="array" aca="1" ref="E12" ca="1">_FV(A12,"Volume")</f>
        <v>37858017</v>
      </c>
      <c r="F12" s="1" cm="1">
        <f t="array" aca="1" ref="F12" ca="1">_FV(A12,"Previous close",TRUE)</f>
        <v>213.88</v>
      </c>
      <c r="G12" t="str">
        <f ca="1">IF(AND(B12&gt;=206.47,B12&lt;=207.6), "📈 Bullish Short-Term", "")</f>
        <v/>
      </c>
      <c r="H12" t="str">
        <f ca="1">IF(B12&gt;=207.61, "🚀 Watch for Breakout", "")</f>
        <v>🚀 Watch for Breakout</v>
      </c>
      <c r="I12" t="str">
        <f ca="1">IF(B12&lt;=206, "⚠️ Pullback Watch", "")</f>
        <v/>
      </c>
    </row>
    <row r="13" spans="1:13" x14ac:dyDescent="0.25">
      <c r="A13" s="9" t="e" vm="11">
        <v>#VALUE!</v>
      </c>
      <c r="B13" s="1" cm="1">
        <f t="array" aca="1" ref="B13" ca="1">_FV(A13,"Price")</f>
        <v>166.22</v>
      </c>
      <c r="C13" s="1" cm="1">
        <f t="array" aca="1" ref="C13" ca="1">_FV(A13,"52 week high",TRUE)</f>
        <v>169.99</v>
      </c>
      <c r="D13" s="1" cm="1">
        <f t="array" aca="1" ref="D13" ca="1">_FV(A13,"52 week low",TRUE)</f>
        <v>140.68</v>
      </c>
      <c r="E13" s="49" cm="1">
        <f t="array" aca="1" ref="E13" ca="1">_FV(A13,"Volume")</f>
        <v>8014640</v>
      </c>
      <c r="F13" s="1" cm="1">
        <f t="array" aca="1" ref="F13" ca="1">_FV(A13,"Previous close",TRUE)</f>
        <v>168.3</v>
      </c>
      <c r="G13" t="str">
        <f ca="1">IF(B13&lt;=152.04, "❌ Bearish Setup Below all MAs", "")</f>
        <v/>
      </c>
      <c r="H13" t="str">
        <f ca="1">IF(AND(B13&gt;152.04, B13&lt;154), "👀 Watch for Reversal", "")</f>
        <v/>
      </c>
      <c r="I13" t="str">
        <f ca="1">IF(B13&gt;=156.5, "🚀 Breakout Watch (Above 50 MA)Buy Opportunity", "")</f>
        <v>🚀 Breakout Watch (Above 50 MA)Buy Opportunity</v>
      </c>
      <c r="J13" t="str">
        <f ca="1">IF(B13&gt;158, " Breakout Confirmation, Buy 25%", " ")</f>
        <v xml:space="preserve"> Breakout Confirmation, Buy 25%</v>
      </c>
      <c r="K13" t="str">
        <f ca="1">IF(B13&gt;=ROUND(C13*1.1,2),"10% Target Reached – Review for Trim", " ")</f>
        <v xml:space="preserve"> </v>
      </c>
    </row>
    <row r="14" spans="1:13" x14ac:dyDescent="0.25">
      <c r="A14" s="9" t="e" vm="12">
        <v>#VALUE!</v>
      </c>
      <c r="B14" s="24" cm="1">
        <f t="array" aca="1" ref="B14" ca="1">_FV(A14,"Price")</f>
        <v>636.94000000000005</v>
      </c>
      <c r="C14" s="1" cm="1">
        <f t="array" aca="1" ref="C14" ca="1">_FV(A14,"52 week high",TRUE)</f>
        <v>638.04</v>
      </c>
      <c r="D14" s="1" cm="1">
        <f t="array" aca="1" ref="D14" ca="1">_FV(A14,"52 week low",TRUE)</f>
        <v>481.8</v>
      </c>
      <c r="E14" s="49" cm="1">
        <f t="array" aca="1" ref="E14" ca="1">_FV(A14,"Volume")</f>
        <v>54917102</v>
      </c>
      <c r="F14" s="1" cm="1">
        <f t="array" aca="1" ref="F14" ca="1">_FV(A14,"Previous close",TRUE)</f>
        <v>637.1</v>
      </c>
      <c r="G14" t="str">
        <f ca="1">IF(B14&gt;=605, "📈 New Breakout Zone- Confirmed Strength", " ")</f>
        <v>📈 New Breakout Zone- Confirmed Strength</v>
      </c>
      <c r="H14" t="str">
        <f ca="1">IF(B14&lt;=614, "⚠️ Caution: Pullback from EMA20", "")</f>
        <v/>
      </c>
      <c r="I14" t="str">
        <f ca="1">IF(B14&gt;=646, "🚨 Overbought Watch – Review for Trim", "")</f>
        <v/>
      </c>
    </row>
    <row r="15" spans="1:13" x14ac:dyDescent="0.25">
      <c r="A15" s="9" t="e" vm="13">
        <v>#VALUE!</v>
      </c>
      <c r="B15" s="1" cm="1">
        <f t="array" aca="1" ref="B15" ca="1">_FV(A15,"Price")</f>
        <v>568.14</v>
      </c>
      <c r="C15" s="1" cm="1">
        <f t="array" aca="1" ref="C15" ca="1">_FV(A15,"52 week high",TRUE)</f>
        <v>569.04</v>
      </c>
      <c r="D15" s="1" cm="1">
        <f t="array" aca="1" ref="D15" ca="1">_FV(A15,"52 week low",TRUE)</f>
        <v>402.39</v>
      </c>
      <c r="E15" s="49" cm="1">
        <f t="array" aca="1" ref="E15" ca="1">_FV(A15,"Volume")</f>
        <v>31498739</v>
      </c>
      <c r="F15" s="1" cm="1">
        <f t="array" aca="1" ref="F15" ca="1">_FV(A15,"Previous close",TRUE)</f>
        <v>566.37</v>
      </c>
      <c r="G15" t="str">
        <f ca="1">IF(B15&gt;=560, "📈 Breakout Zone – Consider Trim Near $570", "")</f>
        <v>📈 Breakout Zone – Consider Trim Near $570</v>
      </c>
      <c r="H15" t="str">
        <f ca="1">IF(AND(B15&lt;=545,B15&gt;=525), "🟡 Healthy Pullback Entry Zone", "")</f>
        <v/>
      </c>
      <c r="I15" t="str">
        <f ca="1">IF(B15&gt;=590, "10% Gains, Trim Profits", " ")</f>
        <v xml:space="preserve"> </v>
      </c>
      <c r="J15" t="str">
        <f ca="1">IF(B15&lt;=528,"Trigger Stop Loss", " ")</f>
        <v xml:space="preserve"> </v>
      </c>
    </row>
    <row r="16" spans="1:13" x14ac:dyDescent="0.25">
      <c r="A16" s="9" t="e" vm="14">
        <v>#VALUE!</v>
      </c>
      <c r="B16" s="1" cm="1">
        <f t="array" aca="1" ref="B16" ca="1">_FV(A16,"Price")</f>
        <v>183.58</v>
      </c>
      <c r="C16" s="1" cm="1">
        <f t="array" aca="1" ref="C16" ca="1">_FV(A16,"52 week high",TRUE)</f>
        <v>262.72000000000003</v>
      </c>
      <c r="D16" s="1" cm="1">
        <f t="array" aca="1" ref="D16" ca="1">_FV(A16,"52 week low",TRUE)</f>
        <v>116.5625</v>
      </c>
      <c r="E16" s="49" cm="1">
        <f t="array" aca="1" ref="E16" ca="1">_FV(A16,"Volume")</f>
        <v>2622123</v>
      </c>
      <c r="F16" s="1" cm="1">
        <f t="array" aca="1" ref="F16" ca="1">_FV(A16,"Previous close",TRUE)</f>
        <v>185.32</v>
      </c>
      <c r="G16" t="str">
        <f ca="1">IF(B16&gt;=165, "Momentum", "  ")</f>
        <v>Momentum</v>
      </c>
      <c r="H16" t="str">
        <f ca="1">IF(B16&gt;=ROUND(153.2*1.3,2), "Trim Zone – 30% Return", "")</f>
        <v/>
      </c>
      <c r="I16" t="str">
        <f ca="1">IF(AND(B16&gt;=162, B16&lt;=165), "Caution, Pullback, Buy Target Allocation", " ")</f>
        <v xml:space="preserve"> </v>
      </c>
      <c r="J16" t="str">
        <f ca="1">IF(B16&lt;=155, "Near Stop Loss", " ")</f>
        <v xml:space="preserve"> </v>
      </c>
    </row>
    <row r="17" spans="1:10" x14ac:dyDescent="0.25">
      <c r="A17" s="9" t="e" vm="15">
        <v>#VALUE!</v>
      </c>
      <c r="B17" s="1" cm="1">
        <f t="array" aca="1" ref="B17" ca="1">_FV(A17,"Price")</f>
        <v>228.48</v>
      </c>
      <c r="C17" s="1" cm="1">
        <f t="array" aca="1" ref="C17" ca="1">_FV(A17,"52 week high",TRUE)</f>
        <v>257.64999999999998</v>
      </c>
      <c r="D17" s="1" cm="1">
        <f t="array" aca="1" ref="D17" ca="1">_FV(A17,"52 week low",TRUE)</f>
        <v>167.66319999999999</v>
      </c>
      <c r="E17" s="49" cm="1">
        <f t="array" aca="1" ref="E17" ca="1">_FV(A17,"Volume")</f>
        <v>2798336</v>
      </c>
      <c r="F17" s="1" cm="1">
        <f t="array" aca="1" ref="F17" ca="1">_FV(A17,"Previous close",TRUE)</f>
        <v>225.37</v>
      </c>
      <c r="G17" t="str">
        <f ca="1">IF(AND(B17&gt;=240,B17&lt;=249.99), "Breakout", " ")</f>
        <v xml:space="preserve"> </v>
      </c>
      <c r="H17" t="str">
        <f ca="1">IF(B17&gt;=ROUND(230*1.1, 2), "10% Trim Profits", " ")</f>
        <v xml:space="preserve"> </v>
      </c>
    </row>
    <row r="18" spans="1:10" x14ac:dyDescent="0.25">
      <c r="A18" s="9" t="e" vm="16">
        <v>#VALUE!</v>
      </c>
      <c r="B18" s="1" cm="1">
        <f t="array" aca="1" ref="B18" ca="1">_FV(A18,"Price")</f>
        <v>78.22</v>
      </c>
      <c r="C18" s="1" cm="1">
        <f t="array" aca="1" ref="C18" ca="1">_FV(A18,"52 week high",TRUE)</f>
        <v>93.66</v>
      </c>
      <c r="D18" s="1" cm="1">
        <f t="array" aca="1" ref="D18" ca="1">_FV(A18,"52 week low",TRUE)</f>
        <v>55.85</v>
      </c>
      <c r="E18" s="49" cm="1">
        <f t="array" aca="1" ref="E18" ca="1">_FV(A18,"Volume")</f>
        <v>15978415</v>
      </c>
      <c r="F18" s="1" cm="1">
        <f t="array" aca="1" ref="F18" ca="1">_FV(A18,"Previous close",TRUE)</f>
        <v>77.98</v>
      </c>
      <c r="G18" t="str">
        <f ca="1">IF(AND(B18&gt;=68, B18&lt;=75), "Reversal Watch, (Holding 20-EMA)", " ")</f>
        <v xml:space="preserve"> </v>
      </c>
      <c r="H18" t="str">
        <f ca="1">IF(B18&gt;76.5, "Breakout", " ")</f>
        <v>Breakout</v>
      </c>
      <c r="I18" t="str">
        <f ca="1">IF(B18&lt;68, "Breakdown", " ")</f>
        <v xml:space="preserve"> </v>
      </c>
    </row>
    <row r="19" spans="1:10" x14ac:dyDescent="0.25">
      <c r="A19" s="50" t="e" vm="17">
        <v>#VALUE!</v>
      </c>
      <c r="B19" s="48" cm="1">
        <f t="array" aca="1" ref="B19" ca="1">_FV(A19,"Price")</f>
        <v>218.27</v>
      </c>
      <c r="C19" s="1" cm="1">
        <f t="array" aca="1" ref="C19" ca="1">_FV(A19,"52 week high",TRUE)</f>
        <v>226.64</v>
      </c>
      <c r="D19" s="1" cm="1">
        <f t="array" aca="1" ref="D19" ca="1">_FV(A19,"52 week low",TRUE)</f>
        <v>202.95500000000001</v>
      </c>
      <c r="E19" s="49" cm="1">
        <f t="array" aca="1" ref="E19" ca="1">_FV(A19,"Volume")</f>
        <v>96034</v>
      </c>
      <c r="F19" s="1" cm="1">
        <f t="array" aca="1" ref="F19" ca="1">_FV(A19,"Previous close",TRUE)</f>
        <v>220.14</v>
      </c>
      <c r="G19" t="str">
        <f ca="1">IF(B19&gt;=219, "Above ALL MA's Breakout", " ")</f>
        <v xml:space="preserve"> </v>
      </c>
      <c r="H19" t="str">
        <f ca="1">IF(AND(B19&lt;218.7, B19&gt;=214.02), "Price Dip, Buy Opportunity", " ")</f>
        <v>Price Dip, Buy Opportunity</v>
      </c>
      <c r="I19" t="str">
        <f ca="1">IF(B19&lt;=213, "Trend Reversal, Stop loss", " ")</f>
        <v xml:space="preserve"> </v>
      </c>
    </row>
    <row r="20" spans="1:10" x14ac:dyDescent="0.25">
      <c r="A20" s="9" t="e" vm="18">
        <v>#VALUE!</v>
      </c>
      <c r="B20" s="1" cm="1">
        <f t="array" aca="1" ref="B20" ca="1">_FV(A20,"Price")</f>
        <v>568.28</v>
      </c>
      <c r="C20" s="1" cm="1">
        <f t="array" aca="1" ref="C20" ca="1">_FV(A20,"52 week high",TRUE)</f>
        <v>594.71</v>
      </c>
      <c r="D20" s="1" cm="1">
        <f t="array" aca="1" ref="D20" ca="1">_FV(A20,"Low")</f>
        <v>566.22</v>
      </c>
      <c r="E20" s="49" cm="1">
        <f t="array" aca="1" ref="E20" ca="1">_FV(A20,"Volume")</f>
        <v>2492411</v>
      </c>
      <c r="F20" s="1" cm="1">
        <f t="array" aca="1" ref="F20" ca="1">_FV(A20,"Previous close",TRUE)</f>
        <v>568.22</v>
      </c>
      <c r="G20" t="str">
        <f ca="1">IF(AND(B20&gt;=566.98, B20&lt;=569.99),"Minor Breakout Above 50MA, Consider buy", " ")</f>
        <v>Minor Breakout Above 50MA, Consider buy</v>
      </c>
      <c r="H20" t="str">
        <f ca="1">IF(B20&gt;=575, "Breakout Above 570, Buy Opportunity", " ")</f>
        <v xml:space="preserve"> </v>
      </c>
      <c r="I20" t="str">
        <f ca="1">IF(B20&gt;=613.6, "10% Gains, Consider Trimming", " ")</f>
        <v xml:space="preserve"> </v>
      </c>
    </row>
    <row r="21" spans="1:10" x14ac:dyDescent="0.25">
      <c r="A21" s="9" t="e" vm="19">
        <v>#VALUE!</v>
      </c>
      <c r="B21" s="1" cm="1">
        <f t="array" aca="1" ref="B21" ca="1">_FV(A21,"Price")</f>
        <v>355.47</v>
      </c>
      <c r="C21" s="1" cm="1">
        <f t="array" aca="1" ref="C21" ca="1">_FV(A21,"52 week high",TRUE)</f>
        <v>375.51</v>
      </c>
      <c r="D21" s="1" cm="1">
        <f t="array" aca="1" ref="D21" ca="1">_FV(A21,"52 week low",TRUE)</f>
        <v>254.51</v>
      </c>
      <c r="E21" s="49" cm="1">
        <f t="array" aca="1" ref="E21" ca="1">_FV(A21,"Volume")</f>
        <v>3920959</v>
      </c>
      <c r="F21" s="1" cm="1">
        <f t="array" aca="1" ref="F21" ca="1">_FV(A21,"Previous close",TRUE)</f>
        <v>357.04</v>
      </c>
      <c r="G21" t="str">
        <f ca="1">IF(AND(B21&gt;=357,B21&lt;=356.99), "Minor Breakout 50MA+, Consider buying", " ")</f>
        <v xml:space="preserve"> </v>
      </c>
      <c r="H21" t="str">
        <f ca="1">IF(B21&gt;=375, "Major Breakout, Buy Oppt", " ")</f>
        <v xml:space="preserve"> </v>
      </c>
      <c r="I21" t="str">
        <f ca="1">IF(B21&gt;=388.3, "10% Gains, Consider Trimming", " ")</f>
        <v xml:space="preserve"> </v>
      </c>
      <c r="J21" t="str">
        <f ca="1">IF(B21&lt;=330.16,"Trigger Stop Loss", " ")</f>
        <v xml:space="preserve"> </v>
      </c>
    </row>
  </sheetData>
  <mergeCells count="1">
    <mergeCell ref="B1:C1"/>
  </mergeCells>
  <conditionalFormatting sqref="B3">
    <cfRule type="expression" dxfId="160" priority="91">
      <formula>IF(AND($B$3&lt;1095, $B$3&gt;1000), "Yellow Color", " ")</formula>
    </cfRule>
    <cfRule type="expression" dxfId="159" priority="92">
      <formula>B3&gt;=C3</formula>
    </cfRule>
  </conditionalFormatting>
  <conditionalFormatting sqref="G3">
    <cfRule type="cellIs" dxfId="158" priority="46" operator="equal">
      <formula>"New 52W High Breakout"</formula>
    </cfRule>
  </conditionalFormatting>
  <conditionalFormatting sqref="G4">
    <cfRule type="cellIs" dxfId="157" priority="55" operator="equal">
      <formula>"Breakout!"</formula>
    </cfRule>
  </conditionalFormatting>
  <conditionalFormatting sqref="G5">
    <cfRule type="cellIs" dxfId="156" priority="49" operator="equal">
      <formula>"Watch for Breakout Zone"</formula>
    </cfRule>
  </conditionalFormatting>
  <conditionalFormatting sqref="G6">
    <cfRule type="cellIs" dxfId="155" priority="45" operator="equal">
      <formula>"Breakout Zone"</formula>
    </cfRule>
  </conditionalFormatting>
  <conditionalFormatting sqref="G7">
    <cfRule type="cellIs" dxfId="154" priority="41" operator="equal">
      <formula>"Profit Target Reached – Review Trim"</formula>
    </cfRule>
  </conditionalFormatting>
  <conditionalFormatting sqref="G11">
    <cfRule type="cellIs" dxfId="153" priority="27" operator="equal">
      <formula>"🚀 Breakout Holding – Bullish"</formula>
    </cfRule>
  </conditionalFormatting>
  <conditionalFormatting sqref="G13">
    <cfRule type="cellIs" dxfId="152" priority="21" operator="equal">
      <formula>"Bearish Setup Below all MAs"</formula>
    </cfRule>
    <cfRule type="cellIs" dxfId="151" priority="22" operator="equal">
      <formula>"Bearish Setup Below all MAs"</formula>
    </cfRule>
  </conditionalFormatting>
  <conditionalFormatting sqref="G14">
    <cfRule type="cellIs" dxfId="150" priority="17" operator="equal">
      <formula>"📈 New Breakout Zone- Confirmed Strength"</formula>
    </cfRule>
  </conditionalFormatting>
  <conditionalFormatting sqref="G15">
    <cfRule type="cellIs" dxfId="149" priority="20" operator="equal">
      <formula>"📈 Breakout Zone – Consider Trim Near $570"</formula>
    </cfRule>
  </conditionalFormatting>
  <conditionalFormatting sqref="G19">
    <cfRule type="cellIs" dxfId="148" priority="57" operator="equal">
      <formula>"Above ALL MA's Breakout"</formula>
    </cfRule>
  </conditionalFormatting>
  <conditionalFormatting sqref="G20">
    <cfRule type="cellIs" dxfId="147" priority="6" operator="equal">
      <formula>"Minor Breakout Above 50MA, Consider buy"</formula>
    </cfRule>
  </conditionalFormatting>
  <conditionalFormatting sqref="G21">
    <cfRule type="cellIs" dxfId="146" priority="9" operator="equal">
      <formula>"Minor Breakout 50MA+, Consider buying"</formula>
    </cfRule>
  </conditionalFormatting>
  <conditionalFormatting sqref="H3">
    <cfRule type="cellIs" dxfId="145" priority="90" operator="equal">
      <formula>"Buy Opportunity"</formula>
    </cfRule>
  </conditionalFormatting>
  <conditionalFormatting sqref="H4">
    <cfRule type="cellIs" dxfId="144" priority="54" operator="equal">
      <formula>"Trim Alert"</formula>
    </cfRule>
  </conditionalFormatting>
  <conditionalFormatting sqref="H5">
    <cfRule type="cellIs" dxfId="143" priority="50" operator="equal">
      <formula>"Dip Buy Opportunit"</formula>
    </cfRule>
  </conditionalFormatting>
  <conditionalFormatting sqref="H6">
    <cfRule type="cellIs" dxfId="142" priority="44" operator="equal">
      <formula>"Trim Opportunity / Near Target"</formula>
    </cfRule>
  </conditionalFormatting>
  <conditionalFormatting sqref="H8">
    <cfRule type="cellIs" dxfId="141" priority="35" operator="equal">
      <formula>"200MA Breakout Confirmed"</formula>
    </cfRule>
    <cfRule type="cellIs" dxfId="140" priority="73" operator="equal">
      <formula>"Dip Buy Oppt"</formula>
    </cfRule>
  </conditionalFormatting>
  <conditionalFormatting sqref="H9">
    <cfRule type="cellIs" dxfId="139" priority="33" operator="equal">
      <formula>"🚀 Breakout Confirmation Zone"</formula>
    </cfRule>
  </conditionalFormatting>
  <conditionalFormatting sqref="H10">
    <cfRule type="cellIs" dxfId="138" priority="30" operator="equal">
      <formula>"📈 Strong Momentum"</formula>
    </cfRule>
  </conditionalFormatting>
  <conditionalFormatting sqref="H11">
    <cfRule type="cellIs" dxfId="137" priority="26" operator="equal">
      <formula>"📌 10% Profit Alert – Review for Trim"</formula>
    </cfRule>
  </conditionalFormatting>
  <conditionalFormatting sqref="H14">
    <cfRule type="cellIs" dxfId="136" priority="16" operator="equal">
      <formula>"⚠️ Caution: Pullback from EMA20"</formula>
    </cfRule>
  </conditionalFormatting>
  <conditionalFormatting sqref="H15">
    <cfRule type="cellIs" dxfId="135" priority="19" operator="equal">
      <formula>"🟡 Healthy Pullback Entry Zone"</formula>
    </cfRule>
  </conditionalFormatting>
  <conditionalFormatting sqref="H16">
    <cfRule type="cellIs" dxfId="134" priority="2" operator="equal">
      <formula>"Trim Zone – 30% Return"</formula>
    </cfRule>
    <cfRule type="cellIs" dxfId="133" priority="14" operator="equal">
      <formula>"Resistance"</formula>
    </cfRule>
  </conditionalFormatting>
  <conditionalFormatting sqref="H17">
    <cfRule type="cellIs" dxfId="132" priority="10" operator="equal">
      <formula>"10% Trim Profits"</formula>
    </cfRule>
  </conditionalFormatting>
  <conditionalFormatting sqref="H19">
    <cfRule type="cellIs" dxfId="131" priority="56" operator="equal">
      <formula>"Price Dip, Buy Opportunity"</formula>
    </cfRule>
    <cfRule type="cellIs" dxfId="130" priority="58" operator="equal">
      <formula>"Below 20-EMA"</formula>
    </cfRule>
  </conditionalFormatting>
  <conditionalFormatting sqref="H20">
    <cfRule type="cellIs" dxfId="129" priority="5" operator="equal">
      <formula>"Breakout Above 570, Buy Opportunity"</formula>
    </cfRule>
  </conditionalFormatting>
  <conditionalFormatting sqref="H21">
    <cfRule type="cellIs" dxfId="128" priority="8" operator="equal">
      <formula>"Major Breakout, Buy Oppt"</formula>
    </cfRule>
  </conditionalFormatting>
  <conditionalFormatting sqref="H4:I4">
    <cfRule type="cellIs" dxfId="127" priority="53" operator="equal">
      <formula>"Dip Buy Opportunity"</formula>
    </cfRule>
  </conditionalFormatting>
  <conditionalFormatting sqref="I3">
    <cfRule type="cellIs" dxfId="126" priority="47" operator="equal">
      <formula>"Test of Trailing Stop Zone"</formula>
    </cfRule>
    <cfRule type="cellIs" dxfId="125" priority="69" operator="equal">
      <formula>"Breakout!"</formula>
    </cfRule>
  </conditionalFormatting>
  <conditionalFormatting sqref="I4">
    <cfRule type="cellIs" dxfId="124" priority="88" operator="equal">
      <formula>"Stop Loss"</formula>
    </cfRule>
  </conditionalFormatting>
  <conditionalFormatting sqref="I6">
    <cfRule type="cellIs" dxfId="123" priority="43" operator="equal">
      <formula>"Early Dip Zone"</formula>
    </cfRule>
  </conditionalFormatting>
  <conditionalFormatting sqref="I7">
    <cfRule type="cellIs" dxfId="122" priority="40" operator="equal">
      <formula>"First Dip Buying Oppt"</formula>
    </cfRule>
    <cfRule type="cellIs" dxfId="121" priority="76" operator="equal">
      <formula>"Dip Buying Oppt"</formula>
    </cfRule>
  </conditionalFormatting>
  <conditionalFormatting sqref="I8">
    <cfRule type="cellIs" dxfId="120" priority="37" operator="equal">
      <formula>"Trim Zone – 20% Return"</formula>
    </cfRule>
    <cfRule type="cellIs" dxfId="119" priority="72" operator="equal">
      <formula>"Breakdown Avoid"</formula>
    </cfRule>
  </conditionalFormatting>
  <conditionalFormatting sqref="I9">
    <cfRule type="cellIs" dxfId="118" priority="32" operator="equal">
      <formula>"🎯 Target Profit Zone (Trim Consideration)"</formula>
    </cfRule>
  </conditionalFormatting>
  <conditionalFormatting sqref="I10">
    <cfRule type="cellIs" dxfId="117" priority="29" operator="equal">
      <formula>"💰Trim Alert 10% Profit"</formula>
    </cfRule>
  </conditionalFormatting>
  <conditionalFormatting sqref="I11">
    <cfRule type="cellIs" dxfId="116" priority="25" operator="equal">
      <formula>"⚠️ Below EMA20 – Caution Zone"</formula>
    </cfRule>
  </conditionalFormatting>
  <conditionalFormatting sqref="I13">
    <cfRule type="cellIs" dxfId="115" priority="67" operator="equal">
      <formula>"🚀 Breakout Watch (Above 50 MA)Buy Opportunity"</formula>
    </cfRule>
  </conditionalFormatting>
  <conditionalFormatting sqref="I14">
    <cfRule type="cellIs" dxfId="114" priority="15" operator="equal">
      <formula>"🚨 Overbought Watch – Review for Trim"</formula>
    </cfRule>
  </conditionalFormatting>
  <conditionalFormatting sqref="J15">
    <cfRule type="cellIs" dxfId="113" priority="18" operator="equal">
      <formula>"Trigger Stop Loss"</formula>
    </cfRule>
  </conditionalFormatting>
  <conditionalFormatting sqref="I16">
    <cfRule type="cellIs" dxfId="112" priority="12" operator="equal">
      <formula>"Caution, Pullback, Buy Target Allocation"</formula>
    </cfRule>
    <cfRule type="cellIs" dxfId="111" priority="13" operator="equal">
      <formula>"Caution, Pullback"</formula>
    </cfRule>
    <cfRule type="cellIs" dxfId="110" priority="66" operator="equal">
      <formula>"Caution, Pullback"</formula>
    </cfRule>
  </conditionalFormatting>
  <conditionalFormatting sqref="I19">
    <cfRule type="cellIs" dxfId="109" priority="60" operator="equal">
      <formula>"Trend Reversal, Stop loss"</formula>
    </cfRule>
  </conditionalFormatting>
  <conditionalFormatting sqref="I20">
    <cfRule type="cellIs" dxfId="108" priority="4" operator="equal">
      <formula>"10% Gains, Consider Trimming"</formula>
    </cfRule>
  </conditionalFormatting>
  <conditionalFormatting sqref="I21">
    <cfRule type="cellIs" dxfId="107" priority="7" operator="equal">
      <formula>"10% Gains, Consider Trimming"</formula>
    </cfRule>
  </conditionalFormatting>
  <conditionalFormatting sqref="J3">
    <cfRule type="cellIs" dxfId="106" priority="48" operator="equal">
      <formula>"Triggered Stop Loss Zone"</formula>
    </cfRule>
    <cfRule type="cellIs" dxfId="105" priority="64" operator="equal">
      <formula>"Breakout 52W Buy Opportunity"</formula>
    </cfRule>
    <cfRule type="cellIs" dxfId="104" priority="68" operator="equal">
      <formula>" Breakout 52W Buy Opportunity"</formula>
    </cfRule>
  </conditionalFormatting>
  <conditionalFormatting sqref="J4:J5">
    <cfRule type="cellIs" dxfId="103" priority="52" operator="equal">
      <formula>"Stop Loss Trigger"</formula>
    </cfRule>
  </conditionalFormatting>
  <conditionalFormatting sqref="J5">
    <cfRule type="cellIs" dxfId="102" priority="51" operator="equal">
      <formula>"Stop Loss Trigge"</formula>
    </cfRule>
  </conditionalFormatting>
  <conditionalFormatting sqref="J6">
    <cfRule type="cellIs" dxfId="101" priority="42" operator="equal">
      <formula>"Approaching 200MA Support"</formula>
    </cfRule>
  </conditionalFormatting>
  <conditionalFormatting sqref="J7">
    <cfRule type="cellIs" dxfId="100" priority="39" operator="equal">
      <formula>"Second Dip Zone, Aggresive"</formula>
    </cfRule>
    <cfRule type="cellIs" dxfId="99" priority="75" operator="equal">
      <formula>"Dip Buying Oppt 2"</formula>
    </cfRule>
  </conditionalFormatting>
  <conditionalFormatting sqref="J8">
    <cfRule type="cellIs" dxfId="98" priority="63" operator="equal">
      <formula>"Reversal Watch-Moderate Buy Oppt"</formula>
    </cfRule>
    <cfRule type="cellIs" priority="71" operator="equal">
      <formula>"Reversal Watch-Moderate Buy Oppt"</formula>
    </cfRule>
  </conditionalFormatting>
  <conditionalFormatting sqref="J8:J9">
    <cfRule type="cellIs" dxfId="97" priority="31" operator="equal">
      <formula>"Trigger Stop Loss"</formula>
    </cfRule>
  </conditionalFormatting>
  <conditionalFormatting sqref="J10">
    <cfRule type="cellIs" dxfId="96" priority="28" operator="equal">
      <formula>"⚠️ Trigger Stop Loss"</formula>
    </cfRule>
  </conditionalFormatting>
  <conditionalFormatting sqref="J13">
    <cfRule type="cellIs" dxfId="95" priority="24" operator="equal">
      <formula>"Breakout Confirmation, Buy 25%"</formula>
    </cfRule>
  </conditionalFormatting>
  <conditionalFormatting sqref="J16">
    <cfRule type="cellIs" dxfId="94" priority="11" operator="equal">
      <formula>"Near Stop Loss"</formula>
    </cfRule>
  </conditionalFormatting>
  <conditionalFormatting sqref="J21">
    <cfRule type="cellIs" dxfId="93" priority="3" operator="equal">
      <formula>"Trigger Stop Loss"</formula>
    </cfRule>
  </conditionalFormatting>
  <conditionalFormatting sqref="K6">
    <cfRule type="cellIs" priority="85" operator="equal">
      <formula>"Dip Buy opportunity"</formula>
    </cfRule>
    <cfRule type="cellIs" dxfId="92" priority="86" operator="equal">
      <formula>"Dip Buy Opportunity"</formula>
    </cfRule>
  </conditionalFormatting>
  <conditionalFormatting sqref="K7">
    <cfRule type="cellIs" dxfId="91" priority="38" operator="equal">
      <formula>"Reevaluate Position"</formula>
    </cfRule>
  </conditionalFormatting>
  <conditionalFormatting sqref="K8">
    <cfRule type="cellIs" dxfId="90" priority="62" operator="equal">
      <formula>"Strong Buy Oppt"</formula>
    </cfRule>
    <cfRule type="cellIs" dxfId="89" priority="70" operator="equal">
      <formula>"Strong Buy Oppt"</formula>
    </cfRule>
  </conditionalFormatting>
  <conditionalFormatting sqref="K13">
    <cfRule type="cellIs" dxfId="88" priority="23" operator="equal">
      <formula>"10% Target Reached – Review for Trim"</formula>
    </cfRule>
  </conditionalFormatting>
  <conditionalFormatting sqref="I15">
    <cfRule type="cellIs" dxfId="0" priority="1" operator="equal">
      <formula>"10% Gains, Trim Profits"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E37A7-6170-467F-BC31-CB464248DB31}">
  <dimension ref="A1:N22"/>
  <sheetViews>
    <sheetView topLeftCell="A2" zoomScaleNormal="100" workbookViewId="0">
      <selection activeCell="C11" sqref="C11"/>
    </sheetView>
  </sheetViews>
  <sheetFormatPr defaultRowHeight="15" x14ac:dyDescent="0.25"/>
  <cols>
    <col min="1" max="1" width="17.140625" customWidth="1"/>
    <col min="2" max="2" width="15.5703125" customWidth="1"/>
    <col min="3" max="5" width="16.5703125" customWidth="1"/>
    <col min="6" max="6" width="13.85546875" customWidth="1"/>
    <col min="7" max="7" width="15.42578125" customWidth="1"/>
    <col min="8" max="8" width="19.42578125" customWidth="1"/>
    <col min="9" max="9" width="18.140625" customWidth="1"/>
    <col min="10" max="10" width="12.85546875" customWidth="1"/>
    <col min="11" max="12" width="17.28515625" customWidth="1"/>
    <col min="13" max="13" width="14.7109375" customWidth="1"/>
    <col min="14" max="14" width="16" customWidth="1"/>
  </cols>
  <sheetData>
    <row r="1" spans="1:14" hidden="1" x14ac:dyDescent="0.25">
      <c r="A1" t="s">
        <v>69</v>
      </c>
      <c r="B1" s="20">
        <f>'Holdings Sheet'!F24</f>
        <v>1065952.42</v>
      </c>
    </row>
    <row r="2" spans="1:14" x14ac:dyDescent="0.25">
      <c r="A2" s="17"/>
      <c r="B2" s="17" t="s">
        <v>57</v>
      </c>
      <c r="C2" s="17" t="s">
        <v>59</v>
      </c>
      <c r="D2" s="17" t="s">
        <v>112</v>
      </c>
      <c r="E2" s="17" t="s">
        <v>114</v>
      </c>
      <c r="F2" s="17" t="s">
        <v>60</v>
      </c>
      <c r="G2" s="17" t="s">
        <v>62</v>
      </c>
      <c r="H2" s="17" t="s">
        <v>64</v>
      </c>
      <c r="I2" s="17" t="s">
        <v>65</v>
      </c>
      <c r="J2" s="17"/>
      <c r="K2" s="17" t="s">
        <v>104</v>
      </c>
      <c r="L2" s="17" t="s">
        <v>107</v>
      </c>
      <c r="M2" s="17" t="s">
        <v>57</v>
      </c>
      <c r="N2" s="17" t="s">
        <v>67</v>
      </c>
    </row>
    <row r="3" spans="1:14" x14ac:dyDescent="0.25">
      <c r="A3" s="17" t="s">
        <v>56</v>
      </c>
      <c r="B3" s="17" t="s">
        <v>58</v>
      </c>
      <c r="C3" s="17" t="s">
        <v>58</v>
      </c>
      <c r="D3" s="17" t="s">
        <v>113</v>
      </c>
      <c r="E3" s="17" t="s">
        <v>115</v>
      </c>
      <c r="F3" s="17" t="s">
        <v>61</v>
      </c>
      <c r="G3" s="17" t="s">
        <v>63</v>
      </c>
      <c r="H3" s="17" t="s">
        <v>63</v>
      </c>
      <c r="I3" s="17" t="s">
        <v>63</v>
      </c>
      <c r="J3" s="17" t="s">
        <v>70</v>
      </c>
      <c r="K3" s="17" t="s">
        <v>105</v>
      </c>
      <c r="L3" s="17" t="s">
        <v>108</v>
      </c>
      <c r="M3" s="17" t="s">
        <v>66</v>
      </c>
      <c r="N3" s="17" t="s">
        <v>68</v>
      </c>
    </row>
    <row r="4" spans="1:14" ht="17.25" customHeight="1" x14ac:dyDescent="0.25">
      <c r="A4" t="s">
        <v>100</v>
      </c>
      <c r="B4" s="13">
        <f ca="1">'Holdings Sheet'!G3</f>
        <v>2.9518531418128404E-2</v>
      </c>
      <c r="C4" s="13">
        <f ca="1">B4</f>
        <v>2.9518531418128404E-2</v>
      </c>
      <c r="D4" s="15">
        <f t="shared" ref="D4:D21" ca="1" si="0">C4-B4</f>
        <v>0</v>
      </c>
      <c r="E4" s="27" t="str">
        <f t="shared" ref="E4:E21" ca="1" si="1">IF(B4&lt;C4, "⬆ Add", IF(B4&gt;C4, "⬇ Trim", "✅ Target Met"))</f>
        <v>✅ Target Met</v>
      </c>
      <c r="F4">
        <f t="shared" ref="F4:F22" si="2">$B$1</f>
        <v>1065952.42</v>
      </c>
      <c r="G4" s="19">
        <f t="shared" ref="G4:G19" ca="1" si="3">C4*F4</f>
        <v>31465.350000000002</v>
      </c>
      <c r="H4">
        <f ca="1">'Holdings Sheet'!F3</f>
        <v>31465.350000000002</v>
      </c>
      <c r="I4" s="20">
        <f t="shared" ref="I4:I19" ca="1" si="4">G4-H4</f>
        <v>0</v>
      </c>
      <c r="J4" s="20" t="str">
        <f t="shared" ref="J4:J21" ca="1" si="5">IF(I4&gt;0, "Buy", IF(I4&lt;0, "Sell", "Hold"))</f>
        <v>Hold</v>
      </c>
      <c r="K4" s="25" t="s">
        <v>106</v>
      </c>
      <c r="L4" s="23">
        <v>45795</v>
      </c>
      <c r="M4">
        <f ca="1">'Holdings Sheet'!E3</f>
        <v>214.05</v>
      </c>
      <c r="N4" s="16">
        <f t="shared" ref="N4:N20" ca="1" si="6">I4/M4</f>
        <v>0</v>
      </c>
    </row>
    <row r="5" spans="1:14" x14ac:dyDescent="0.25">
      <c r="A5" t="s">
        <v>91</v>
      </c>
      <c r="B5" s="13">
        <f ca="1">'Holdings Sheet'!G4</f>
        <v>3.0792547006929259E-2</v>
      </c>
      <c r="C5" s="13">
        <f ca="1">B5</f>
        <v>3.0792547006929259E-2</v>
      </c>
      <c r="D5" s="15">
        <f t="shared" ca="1" si="0"/>
        <v>0</v>
      </c>
      <c r="E5" s="27" t="str">
        <f t="shared" ca="1" si="1"/>
        <v>✅ Target Met</v>
      </c>
      <c r="F5">
        <f t="shared" si="2"/>
        <v>1065952.42</v>
      </c>
      <c r="G5" s="19">
        <f t="shared" ca="1" si="3"/>
        <v>32823.39</v>
      </c>
      <c r="H5">
        <f ca="1">'Holdings Sheet'!F4</f>
        <v>32823.39</v>
      </c>
      <c r="I5" s="20">
        <f t="shared" ca="1" si="4"/>
        <v>0</v>
      </c>
      <c r="J5" s="20" t="str">
        <f t="shared" ca="1" si="5"/>
        <v>Hold</v>
      </c>
      <c r="K5" s="25" t="s">
        <v>111</v>
      </c>
      <c r="L5" s="23">
        <v>45817</v>
      </c>
      <c r="M5">
        <f ca="1">'Holdings Sheet'!E4</f>
        <v>232.79</v>
      </c>
      <c r="N5" s="16">
        <f t="shared" ca="1" si="6"/>
        <v>0</v>
      </c>
    </row>
    <row r="6" spans="1:14" x14ac:dyDescent="0.25">
      <c r="A6" t="s">
        <v>89</v>
      </c>
      <c r="B6" s="13">
        <f ca="1">'Holdings Sheet'!G5</f>
        <v>2.639995882743059E-2</v>
      </c>
      <c r="C6" s="13">
        <f ca="1">B6</f>
        <v>2.639995882743059E-2</v>
      </c>
      <c r="D6" s="15">
        <f t="shared" ca="1" si="0"/>
        <v>0</v>
      </c>
      <c r="E6" s="27" t="str">
        <f t="shared" ca="1" si="1"/>
        <v>✅ Target Met</v>
      </c>
      <c r="F6">
        <f t="shared" si="2"/>
        <v>1065952.42</v>
      </c>
      <c r="G6" s="19">
        <f t="shared" ca="1" si="3"/>
        <v>28141.1</v>
      </c>
      <c r="H6">
        <f ca="1">'Holdings Sheet'!F5</f>
        <v>28141.1</v>
      </c>
      <c r="I6" s="20">
        <f t="shared" ca="1" si="4"/>
        <v>0</v>
      </c>
      <c r="J6" s="20" t="str">
        <f t="shared" ca="1" si="5"/>
        <v>Hold</v>
      </c>
      <c r="K6" s="25" t="s">
        <v>106</v>
      </c>
      <c r="L6" s="23">
        <v>45795</v>
      </c>
      <c r="M6">
        <f ca="1">'Holdings Sheet'!E5</f>
        <v>432.94</v>
      </c>
      <c r="N6" s="16">
        <f t="shared" ca="1" si="6"/>
        <v>0</v>
      </c>
    </row>
    <row r="7" spans="1:14" x14ac:dyDescent="0.25">
      <c r="A7" t="s">
        <v>116</v>
      </c>
      <c r="B7" s="15">
        <f ca="1">'Holdings Sheet'!G6</f>
        <v>4.9599812344344602E-2</v>
      </c>
      <c r="C7" s="18">
        <f ca="1">B7</f>
        <v>4.9599812344344602E-2</v>
      </c>
      <c r="D7" s="15">
        <f t="shared" ca="1" si="0"/>
        <v>0</v>
      </c>
      <c r="E7" s="27" t="str">
        <f t="shared" ca="1" si="1"/>
        <v>✅ Target Met</v>
      </c>
      <c r="F7">
        <f t="shared" si="2"/>
        <v>1065952.42</v>
      </c>
      <c r="G7" s="19">
        <f t="shared" ca="1" si="3"/>
        <v>52871.040000000001</v>
      </c>
      <c r="H7">
        <f ca="1">'Holdings Sheet'!F6</f>
        <v>52871.040000000001</v>
      </c>
      <c r="I7" s="20">
        <f t="shared" ca="1" si="4"/>
        <v>0</v>
      </c>
      <c r="J7" s="20" t="str">
        <f t="shared" ca="1" si="5"/>
        <v>Hold</v>
      </c>
      <c r="K7" s="25" t="s">
        <v>162</v>
      </c>
      <c r="L7" s="23">
        <v>45855</v>
      </c>
      <c r="M7">
        <f ca="1">'Holdings Sheet'!E6</f>
        <v>183.58</v>
      </c>
      <c r="N7" s="16">
        <f t="shared" ca="1" si="6"/>
        <v>0</v>
      </c>
    </row>
    <row r="8" spans="1:14" x14ac:dyDescent="0.25">
      <c r="A8" t="s">
        <v>22</v>
      </c>
      <c r="B8" s="13">
        <f ca="1">'Holdings Sheet'!G7</f>
        <v>5.3891467313334683E-2</v>
      </c>
      <c r="C8" s="13">
        <v>0.06</v>
      </c>
      <c r="D8" s="15">
        <f t="shared" ca="1" si="0"/>
        <v>6.1085326866653147E-3</v>
      </c>
      <c r="E8" s="27" t="str">
        <f t="shared" ca="1" si="1"/>
        <v>⬆ Add</v>
      </c>
      <c r="F8">
        <f t="shared" si="2"/>
        <v>1065952.42</v>
      </c>
      <c r="G8" s="19">
        <f t="shared" si="3"/>
        <v>63957.145199999992</v>
      </c>
      <c r="H8">
        <f ca="1">'Holdings Sheet'!F7</f>
        <v>57445.74</v>
      </c>
      <c r="I8" s="20">
        <f t="shared" ca="1" si="4"/>
        <v>6511.4051999999938</v>
      </c>
      <c r="J8" s="20" t="str">
        <f t="shared" ca="1" si="5"/>
        <v>Buy</v>
      </c>
      <c r="K8" s="25" t="s">
        <v>150</v>
      </c>
      <c r="L8" s="23">
        <v>45855</v>
      </c>
      <c r="M8">
        <f ca="1">'Holdings Sheet'!E7</f>
        <v>193.42</v>
      </c>
      <c r="N8" s="16">
        <f t="shared" ca="1" si="6"/>
        <v>33.664591045393415</v>
      </c>
    </row>
    <row r="9" spans="1:14" x14ac:dyDescent="0.25">
      <c r="A9" t="s">
        <v>95</v>
      </c>
      <c r="B9" s="13">
        <f ca="1">'Holdings Sheet'!G8</f>
        <v>2.6353127468860198E-2</v>
      </c>
      <c r="C9" s="13">
        <f ca="1">B9</f>
        <v>2.6353127468860198E-2</v>
      </c>
      <c r="D9" s="15">
        <f t="shared" ca="1" si="0"/>
        <v>0</v>
      </c>
      <c r="E9" s="27" t="str">
        <f t="shared" ca="1" si="1"/>
        <v>✅ Target Met</v>
      </c>
      <c r="F9">
        <f t="shared" si="2"/>
        <v>1065952.42</v>
      </c>
      <c r="G9" s="19">
        <f t="shared" ca="1" si="3"/>
        <v>28091.18</v>
      </c>
      <c r="H9">
        <f ca="1">'Holdings Sheet'!F8</f>
        <v>28091.18</v>
      </c>
      <c r="I9" s="20">
        <f t="shared" ca="1" si="4"/>
        <v>0</v>
      </c>
      <c r="J9" s="20" t="str">
        <f t="shared" ca="1" si="5"/>
        <v>Hold</v>
      </c>
      <c r="K9" s="25" t="s">
        <v>111</v>
      </c>
      <c r="L9" s="23">
        <v>45810</v>
      </c>
      <c r="M9">
        <f ca="1">'Holdings Sheet'!E8</f>
        <v>166.22</v>
      </c>
      <c r="N9" s="16">
        <f t="shared" ca="1" si="6"/>
        <v>0</v>
      </c>
    </row>
    <row r="10" spans="1:14" x14ac:dyDescent="0.25">
      <c r="A10" t="s">
        <v>28</v>
      </c>
      <c r="B10" s="13">
        <f ca="1">'Holdings Sheet'!G9</f>
        <v>7.0236042993363626E-2</v>
      </c>
      <c r="C10" s="15">
        <f ca="1">B10</f>
        <v>7.0236042993363626E-2</v>
      </c>
      <c r="D10" s="15">
        <f t="shared" ca="1" si="0"/>
        <v>0</v>
      </c>
      <c r="E10" s="27" t="str">
        <f t="shared" ca="1" si="1"/>
        <v>✅ Target Met</v>
      </c>
      <c r="F10">
        <f t="shared" si="2"/>
        <v>1065952.42</v>
      </c>
      <c r="G10" s="19">
        <f t="shared" ca="1" si="3"/>
        <v>74868.28</v>
      </c>
      <c r="H10">
        <f ca="1">'Holdings Sheet'!F9</f>
        <v>74868.28</v>
      </c>
      <c r="I10" s="20">
        <f t="shared" ca="1" si="4"/>
        <v>0</v>
      </c>
      <c r="J10" s="20" t="str">
        <f t="shared" ca="1" si="5"/>
        <v>Hold</v>
      </c>
      <c r="K10" s="25" t="s">
        <v>41</v>
      </c>
      <c r="L10" s="25" t="s">
        <v>41</v>
      </c>
      <c r="M10">
        <f ca="1">'Holdings Sheet'!E9</f>
        <v>298.27999999999997</v>
      </c>
      <c r="N10" s="16">
        <f t="shared" ca="1" si="6"/>
        <v>0</v>
      </c>
    </row>
    <row r="11" spans="1:14" x14ac:dyDescent="0.25">
      <c r="A11" t="s">
        <v>117</v>
      </c>
      <c r="B11" s="13">
        <f ca="1">'Holdings Sheet'!G10</f>
        <v>5.0585072080421754E-2</v>
      </c>
      <c r="C11" s="15">
        <v>0.05</v>
      </c>
      <c r="D11" s="15">
        <f t="shared" ca="1" si="0"/>
        <v>-5.8507208042175157E-4</v>
      </c>
      <c r="E11" s="27" t="str">
        <f t="shared" ca="1" si="1"/>
        <v>⬇ Trim</v>
      </c>
      <c r="F11">
        <f t="shared" si="2"/>
        <v>1065952.42</v>
      </c>
      <c r="G11" s="19">
        <f>C11*F11</f>
        <v>53297.620999999999</v>
      </c>
      <c r="H11">
        <f ca="1">'Holdings Sheet'!F10</f>
        <v>53921.279999999999</v>
      </c>
      <c r="I11" s="20">
        <f t="shared" ca="1" si="4"/>
        <v>-623.65899999999965</v>
      </c>
      <c r="J11" s="20" t="str">
        <f t="shared" ca="1" si="5"/>
        <v>Sell</v>
      </c>
      <c r="K11" s="25" t="s">
        <v>150</v>
      </c>
      <c r="L11" s="23">
        <v>45806</v>
      </c>
      <c r="M11">
        <f ca="1">'Holdings Sheet'!E10</f>
        <v>228.48</v>
      </c>
      <c r="N11" s="16">
        <f t="shared" ca="1" si="6"/>
        <v>-2.7295999649859928</v>
      </c>
    </row>
    <row r="12" spans="1:14" x14ac:dyDescent="0.25">
      <c r="A12" t="s">
        <v>0</v>
      </c>
      <c r="B12" s="13">
        <f ca="1">'Holdings Sheet'!G11</f>
        <v>5.3994342449168599E-2</v>
      </c>
      <c r="C12" s="13">
        <v>7.0000000000000007E-2</v>
      </c>
      <c r="D12" s="15">
        <f t="shared" ca="1" si="0"/>
        <v>1.6005657550831408E-2</v>
      </c>
      <c r="E12" s="27" t="str">
        <f t="shared" ca="1" si="1"/>
        <v>⬆ Add</v>
      </c>
      <c r="F12">
        <f t="shared" si="2"/>
        <v>1065952.42</v>
      </c>
      <c r="G12" s="19">
        <f t="shared" si="3"/>
        <v>74616.669399999999</v>
      </c>
      <c r="H12">
        <f ca="1">'Holdings Sheet'!F11</f>
        <v>57555.399999999994</v>
      </c>
      <c r="I12" s="20">
        <f t="shared" ca="1" si="4"/>
        <v>17061.269400000005</v>
      </c>
      <c r="J12" s="20" t="str">
        <f t="shared" ca="1" si="5"/>
        <v>Buy</v>
      </c>
      <c r="K12" s="25" t="s">
        <v>41</v>
      </c>
      <c r="L12" s="25" t="s">
        <v>41</v>
      </c>
      <c r="M12">
        <f ca="1">'Holdings Sheet'!E11</f>
        <v>1174.5999999999999</v>
      </c>
      <c r="N12" s="16">
        <f t="shared" ca="1" si="6"/>
        <v>14.525174016686536</v>
      </c>
    </row>
    <row r="13" spans="1:14" x14ac:dyDescent="0.25">
      <c r="A13" t="s">
        <v>127</v>
      </c>
      <c r="B13" s="13">
        <f ca="1">'Holdings Sheet'!G12</f>
        <v>1.1930888997841012E-2</v>
      </c>
      <c r="C13" s="15">
        <v>0.05</v>
      </c>
      <c r="D13" s="15">
        <f t="shared" ca="1" si="0"/>
        <v>3.8069111002158991E-2</v>
      </c>
      <c r="E13" s="27" t="str">
        <f t="shared" ca="1" si="1"/>
        <v>⬆ Add</v>
      </c>
      <c r="F13">
        <f t="shared" si="2"/>
        <v>1065952.42</v>
      </c>
      <c r="G13" s="19">
        <f t="shared" si="3"/>
        <v>53297.620999999999</v>
      </c>
      <c r="H13">
        <f ca="1">'Holdings Sheet'!F12</f>
        <v>12717.76</v>
      </c>
      <c r="I13" s="20">
        <f t="shared" ca="1" si="4"/>
        <v>40579.860999999997</v>
      </c>
      <c r="J13" s="20" t="str">
        <f t="shared" ca="1" si="5"/>
        <v>Buy</v>
      </c>
      <c r="K13" s="25" t="s">
        <v>106</v>
      </c>
      <c r="L13" s="23">
        <v>45812</v>
      </c>
      <c r="M13">
        <f ca="1">'Holdings Sheet'!E12</f>
        <v>144.52000000000001</v>
      </c>
      <c r="N13" s="16">
        <f t="shared" ca="1" si="6"/>
        <v>280.79062413506779</v>
      </c>
    </row>
    <row r="14" spans="1:14" x14ac:dyDescent="0.25">
      <c r="A14" t="s">
        <v>8</v>
      </c>
      <c r="B14" s="13">
        <f ca="1">'Holdings Sheet'!G13</f>
        <v>4.4272379436973375E-2</v>
      </c>
      <c r="C14" s="13">
        <v>0.1</v>
      </c>
      <c r="D14" s="15">
        <f t="shared" ca="1" si="0"/>
        <v>5.5727620563026631E-2</v>
      </c>
      <c r="E14" s="27" t="str">
        <f t="shared" ca="1" si="1"/>
        <v>⬆ Add</v>
      </c>
      <c r="F14">
        <f t="shared" si="2"/>
        <v>1065952.42</v>
      </c>
      <c r="G14" s="19">
        <f t="shared" si="3"/>
        <v>106595.242</v>
      </c>
      <c r="H14">
        <f ca="1">'Holdings Sheet'!F13</f>
        <v>47192.25</v>
      </c>
      <c r="I14" s="20">
        <f t="shared" ca="1" si="4"/>
        <v>59402.991999999998</v>
      </c>
      <c r="J14" s="20" t="str">
        <f t="shared" ca="1" si="5"/>
        <v>Buy</v>
      </c>
      <c r="K14" s="25" t="s">
        <v>41</v>
      </c>
      <c r="L14" s="25" t="s">
        <v>41</v>
      </c>
      <c r="M14">
        <f ca="1">'Holdings Sheet'!E13</f>
        <v>176.75</v>
      </c>
      <c r="N14" s="16">
        <f t="shared" ca="1" si="6"/>
        <v>336.08482036775104</v>
      </c>
    </row>
    <row r="15" spans="1:14" x14ac:dyDescent="0.25">
      <c r="A15" t="s">
        <v>118</v>
      </c>
      <c r="B15" s="13">
        <f ca="1">'Holdings Sheet'!G14</f>
        <v>1.4602696807048857E-2</v>
      </c>
      <c r="C15" s="51">
        <f ca="1">B15</f>
        <v>1.4602696807048857E-2</v>
      </c>
      <c r="D15" s="15">
        <f t="shared" ca="1" si="0"/>
        <v>0</v>
      </c>
      <c r="E15" s="27" t="str">
        <f t="shared" ca="1" si="1"/>
        <v>✅ Target Met</v>
      </c>
      <c r="F15">
        <f t="shared" si="2"/>
        <v>1065952.42</v>
      </c>
      <c r="G15" s="19">
        <f t="shared" ca="1" si="3"/>
        <v>15565.78</v>
      </c>
      <c r="H15">
        <f ca="1">'Holdings Sheet'!F14</f>
        <v>15565.78</v>
      </c>
      <c r="I15" s="20">
        <f t="shared" ca="1" si="4"/>
        <v>0</v>
      </c>
      <c r="J15" s="20" t="str">
        <f t="shared" ca="1" si="5"/>
        <v>Hold</v>
      </c>
      <c r="K15" s="25" t="s">
        <v>106</v>
      </c>
      <c r="L15" s="23">
        <v>45808</v>
      </c>
      <c r="M15">
        <f ca="1">'Holdings Sheet'!E14</f>
        <v>78.22</v>
      </c>
      <c r="N15" s="16">
        <f t="shared" ca="1" si="6"/>
        <v>0</v>
      </c>
    </row>
    <row r="16" spans="1:14" x14ac:dyDescent="0.25">
      <c r="A16" t="s">
        <v>97</v>
      </c>
      <c r="B16" s="13">
        <f ca="1">'Holdings Sheet'!G15</f>
        <v>5.0100885365971591E-2</v>
      </c>
      <c r="C16" s="13">
        <f ca="1">B16</f>
        <v>5.0100885365971591E-2</v>
      </c>
      <c r="D16" s="15">
        <f t="shared" ca="1" si="0"/>
        <v>0</v>
      </c>
      <c r="E16" s="27" t="str">
        <f t="shared" ca="1" si="1"/>
        <v>✅ Target Met</v>
      </c>
      <c r="F16">
        <f t="shared" si="2"/>
        <v>1065952.42</v>
      </c>
      <c r="G16" s="19">
        <f t="shared" ca="1" si="3"/>
        <v>53405.159999999996</v>
      </c>
      <c r="H16">
        <f ca="1">'Holdings Sheet'!F15</f>
        <v>53405.159999999996</v>
      </c>
      <c r="I16" s="20">
        <f t="shared" ca="1" si="4"/>
        <v>0</v>
      </c>
      <c r="J16" s="20" t="str">
        <f t="shared" ca="1" si="5"/>
        <v>Hold</v>
      </c>
      <c r="K16" s="25" t="s">
        <v>111</v>
      </c>
      <c r="L16" s="23">
        <v>45815</v>
      </c>
      <c r="M16">
        <f ca="1">'Holdings Sheet'!E15</f>
        <v>568.14</v>
      </c>
      <c r="N16" s="16">
        <f t="shared" ca="1" si="6"/>
        <v>0</v>
      </c>
    </row>
    <row r="17" spans="1:14" x14ac:dyDescent="0.25">
      <c r="A17" t="s">
        <v>99</v>
      </c>
      <c r="B17" s="13">
        <f ca="1">'Holdings Sheet'!G16</f>
        <v>1.8523472182745273E-2</v>
      </c>
      <c r="C17" s="13">
        <v>0.05</v>
      </c>
      <c r="D17" s="15">
        <f t="shared" ca="1" si="0"/>
        <v>3.1476527817254726E-2</v>
      </c>
      <c r="E17" s="27" t="str">
        <f t="shared" ca="1" si="1"/>
        <v>⬆ Add</v>
      </c>
      <c r="F17">
        <f t="shared" si="2"/>
        <v>1065952.42</v>
      </c>
      <c r="G17" s="19">
        <f t="shared" si="3"/>
        <v>53297.620999999999</v>
      </c>
      <c r="H17">
        <f ca="1">'Holdings Sheet'!F16</f>
        <v>19745.140000000003</v>
      </c>
      <c r="I17" s="20">
        <f t="shared" ca="1" si="4"/>
        <v>33552.481</v>
      </c>
      <c r="J17" s="20" t="str">
        <f t="shared" ca="1" si="5"/>
        <v>Buy</v>
      </c>
      <c r="K17" s="25" t="s">
        <v>106</v>
      </c>
      <c r="L17" s="23">
        <v>45795</v>
      </c>
      <c r="M17">
        <f ca="1">'Holdings Sheet'!E16</f>
        <v>636.94000000000005</v>
      </c>
      <c r="N17" s="16">
        <f t="shared" ca="1" si="6"/>
        <v>52.677616415988943</v>
      </c>
    </row>
    <row r="18" spans="1:14" x14ac:dyDescent="0.25">
      <c r="A18" t="s">
        <v>40</v>
      </c>
      <c r="B18" s="13">
        <f ca="1">'Holdings Sheet'!G17</f>
        <v>9.8746818361742636E-2</v>
      </c>
      <c r="C18" s="13">
        <f ca="1">B18</f>
        <v>9.8746818361742636E-2</v>
      </c>
      <c r="D18" s="15">
        <f t="shared" ca="1" si="0"/>
        <v>0</v>
      </c>
      <c r="E18" s="27" t="str">
        <f t="shared" ca="1" si="1"/>
        <v>✅ Target Met</v>
      </c>
      <c r="F18">
        <f t="shared" si="2"/>
        <v>1065952.42</v>
      </c>
      <c r="G18" s="19">
        <f t="shared" ca="1" si="3"/>
        <v>105259.40999999999</v>
      </c>
      <c r="H18">
        <f ca="1">'Holdings Sheet'!F17</f>
        <v>105259.40999999999</v>
      </c>
      <c r="I18" s="20">
        <f t="shared" ca="1" si="4"/>
        <v>0</v>
      </c>
      <c r="J18" s="20" t="str">
        <f t="shared" ca="1" si="5"/>
        <v>Hold</v>
      </c>
      <c r="K18" s="25" t="s">
        <v>41</v>
      </c>
      <c r="L18" s="25" t="s">
        <v>41</v>
      </c>
      <c r="M18">
        <f ca="1">'Holdings Sheet'!E17</f>
        <v>69.569999999999993</v>
      </c>
      <c r="N18" s="16">
        <f t="shared" ca="1" si="6"/>
        <v>0</v>
      </c>
    </row>
    <row r="19" spans="1:14" x14ac:dyDescent="0.25">
      <c r="A19" t="s">
        <v>87</v>
      </c>
      <c r="B19" s="13">
        <f ca="1">'Holdings Sheet'!G18</f>
        <v>1.8190830693925346E-2</v>
      </c>
      <c r="C19" s="13">
        <f ca="1">B19</f>
        <v>1.8190830693925346E-2</v>
      </c>
      <c r="D19" s="15">
        <f t="shared" ca="1" si="0"/>
        <v>0</v>
      </c>
      <c r="E19" s="27" t="str">
        <f t="shared" ca="1" si="1"/>
        <v>✅ Target Met</v>
      </c>
      <c r="F19">
        <f t="shared" si="2"/>
        <v>1065952.42</v>
      </c>
      <c r="G19" s="19">
        <f t="shared" ca="1" si="3"/>
        <v>19390.560000000001</v>
      </c>
      <c r="H19">
        <f ca="1">'Holdings Sheet'!F18</f>
        <v>19390.560000000001</v>
      </c>
      <c r="I19" s="20">
        <f t="shared" ca="1" si="4"/>
        <v>0</v>
      </c>
      <c r="J19" s="20" t="str">
        <f t="shared" ca="1" si="5"/>
        <v>Hold</v>
      </c>
      <c r="K19" s="25" t="s">
        <v>111</v>
      </c>
      <c r="L19" s="23">
        <v>45824</v>
      </c>
      <c r="M19">
        <f ca="1">'Holdings Sheet'!E18</f>
        <v>111.44</v>
      </c>
      <c r="N19" s="16">
        <f t="shared" ca="1" si="6"/>
        <v>0</v>
      </c>
    </row>
    <row r="20" spans="1:14" x14ac:dyDescent="0.25">
      <c r="A20" t="s">
        <v>148</v>
      </c>
      <c r="B20" s="13">
        <f ca="1">'Holdings Sheet'!G19</f>
        <v>3.8905395045681315E-2</v>
      </c>
      <c r="C20" s="42">
        <f ca="1">B20</f>
        <v>3.8905395045681315E-2</v>
      </c>
      <c r="D20" s="15">
        <f t="shared" ca="1" si="0"/>
        <v>0</v>
      </c>
      <c r="E20" s="27" t="str">
        <f t="shared" ca="1" si="1"/>
        <v>✅ Target Met</v>
      </c>
      <c r="F20">
        <f t="shared" si="2"/>
        <v>1065952.42</v>
      </c>
      <c r="G20" s="19">
        <f ca="1">C20*F20</f>
        <v>41471.300000000003</v>
      </c>
      <c r="H20">
        <f ca="1">'Holdings Sheet'!F19</f>
        <v>41471.300000000003</v>
      </c>
      <c r="I20" s="20">
        <f ca="1">G20-H20</f>
        <v>0</v>
      </c>
      <c r="J20" s="20" t="str">
        <f t="shared" ca="1" si="5"/>
        <v>Hold</v>
      </c>
      <c r="K20" s="25" t="s">
        <v>150</v>
      </c>
      <c r="L20" s="7">
        <v>45834</v>
      </c>
      <c r="M20">
        <f ca="1">'Holdings Sheet'!E19</f>
        <v>218.27</v>
      </c>
      <c r="N20" s="16">
        <f t="shared" ca="1" si="6"/>
        <v>0</v>
      </c>
    </row>
    <row r="21" spans="1:14" x14ac:dyDescent="0.25">
      <c r="A21" t="s">
        <v>165</v>
      </c>
      <c r="B21" s="15">
        <f ca="1">'Holdings Sheet'!G20</f>
        <v>1.0662389602717915E-2</v>
      </c>
      <c r="C21" s="42">
        <v>0.02</v>
      </c>
      <c r="D21" s="15">
        <f t="shared" ca="1" si="0"/>
        <v>9.3376103972820854E-3</v>
      </c>
      <c r="E21" s="27" t="str">
        <f t="shared" ca="1" si="1"/>
        <v>⬆ Add</v>
      </c>
      <c r="F21">
        <f t="shared" si="2"/>
        <v>1065952.42</v>
      </c>
      <c r="G21" s="19">
        <f>C21*F21</f>
        <v>21319.0484</v>
      </c>
      <c r="H21">
        <f ca="1">'Holdings Sheet'!F20</f>
        <v>11365.599999999999</v>
      </c>
      <c r="I21" s="20">
        <f ca="1">G21-H21</f>
        <v>9953.4484000000011</v>
      </c>
      <c r="J21" s="20" t="str">
        <f t="shared" ca="1" si="5"/>
        <v>Buy</v>
      </c>
      <c r="K21" s="25" t="s">
        <v>150</v>
      </c>
      <c r="L21" s="7">
        <v>45860</v>
      </c>
      <c r="M21">
        <f ca="1">'Holdings Sheet'!E20</f>
        <v>568.28</v>
      </c>
      <c r="N21" s="16">
        <f ca="1">I21/M21</f>
        <v>17.515042584641378</v>
      </c>
    </row>
    <row r="22" spans="1:14" x14ac:dyDescent="0.25">
      <c r="A22" t="s">
        <v>168</v>
      </c>
      <c r="B22" s="15">
        <f ca="1">'Holdings Sheet'!G21</f>
        <v>1.0671245532703984E-2</v>
      </c>
      <c r="C22" s="42">
        <v>0.02</v>
      </c>
      <c r="D22" s="15">
        <f ca="1">C22-B22</f>
        <v>9.328754467296016E-3</v>
      </c>
      <c r="E22" s="27" t="str">
        <f ca="1">IF(B22&lt;C22, "⬆ Add", IF(B22&gt;C22, "⬇ Trim", "✅ Target Met"))</f>
        <v>⬆ Add</v>
      </c>
      <c r="F22">
        <f t="shared" si="2"/>
        <v>1065952.42</v>
      </c>
      <c r="G22" s="19">
        <f>C22*F22</f>
        <v>21319.0484</v>
      </c>
      <c r="H22">
        <f ca="1">'Holdings Sheet'!F21</f>
        <v>11375.04</v>
      </c>
      <c r="I22" s="20">
        <f ca="1">G22-H22</f>
        <v>9944.0083999999988</v>
      </c>
      <c r="J22" s="20" t="str">
        <f ca="1">IF(I22&gt;0, "Buy", IF(I22&lt;0, "Sell", "Hold"))</f>
        <v>Buy</v>
      </c>
      <c r="K22" s="25" t="s">
        <v>169</v>
      </c>
      <c r="L22" s="7">
        <v>45861</v>
      </c>
      <c r="M22">
        <f ca="1">'Holdings Sheet'!E21</f>
        <v>355.47</v>
      </c>
      <c r="N22" s="16">
        <f ca="1">I22/M22</f>
        <v>27.974254930092549</v>
      </c>
    </row>
  </sheetData>
  <sortState xmlns:xlrd2="http://schemas.microsoft.com/office/spreadsheetml/2017/richdata2" ref="A4:N19">
    <sortCondition ref="A4:A19"/>
  </sortState>
  <phoneticPr fontId="6" type="noConversion"/>
  <conditionalFormatting sqref="D4:E22">
    <cfRule type="cellIs" dxfId="25" priority="5" operator="greaterThan">
      <formula>0</formula>
    </cfRule>
  </conditionalFormatting>
  <conditionalFormatting sqref="E4:E22">
    <cfRule type="cellIs" dxfId="24" priority="4" operator="equal">
      <formula>"⬇ Trim"</formula>
    </cfRule>
  </conditionalFormatting>
  <conditionalFormatting sqref="J4:L14 J15:K22">
    <cfRule type="cellIs" dxfId="23" priority="1" operator="equal">
      <formula>"Hold"</formula>
    </cfRule>
    <cfRule type="cellIs" dxfId="22" priority="2" operator="equal">
      <formula>"Sell"</formula>
    </cfRule>
    <cfRule type="cellIs" dxfId="21" priority="3" operator="equal">
      <formula>"Buy"</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40AE9-F427-4465-870D-FAF16A5FAD39}">
  <dimension ref="A1:N24"/>
  <sheetViews>
    <sheetView zoomScaleNormal="100" workbookViewId="0">
      <selection activeCell="G6" sqref="G6"/>
    </sheetView>
  </sheetViews>
  <sheetFormatPr defaultRowHeight="15" x14ac:dyDescent="0.25"/>
  <cols>
    <col min="1" max="1" width="13.85546875" customWidth="1"/>
    <col min="2" max="2" width="22.42578125" bestFit="1" customWidth="1"/>
    <col min="3" max="3" width="11" customWidth="1"/>
    <col min="4" max="4" width="20.85546875" customWidth="1"/>
    <col min="5" max="5" width="13.85546875" customWidth="1"/>
    <col min="6" max="6" width="14.5703125" customWidth="1"/>
    <col min="7" max="7" width="12.85546875" customWidth="1"/>
    <col min="8" max="8" width="12.5703125" bestFit="1" customWidth="1"/>
    <col min="9" max="9" width="11.5703125" bestFit="1" customWidth="1"/>
    <col min="10" max="10" width="10.7109375" customWidth="1"/>
    <col min="11" max="11" width="11.5703125" customWidth="1"/>
    <col min="12" max="12" width="18.28515625" customWidth="1"/>
    <col min="13" max="13" width="19.42578125" customWidth="1"/>
    <col min="14" max="14" width="11" customWidth="1"/>
  </cols>
  <sheetData>
    <row r="1" spans="1:14" x14ac:dyDescent="0.25">
      <c r="A1" s="3" t="s">
        <v>47</v>
      </c>
      <c r="B1" s="3"/>
      <c r="C1" s="7">
        <f ca="1">TODAY()</f>
        <v>45866</v>
      </c>
    </row>
    <row r="2" spans="1:14" x14ac:dyDescent="0.25">
      <c r="A2" s="5" t="s">
        <v>9</v>
      </c>
      <c r="B2" s="5" t="s">
        <v>48</v>
      </c>
      <c r="C2" s="5" t="s">
        <v>10</v>
      </c>
      <c r="D2" s="5" t="s">
        <v>24</v>
      </c>
      <c r="E2" s="5" t="s">
        <v>23</v>
      </c>
      <c r="F2" s="5" t="s">
        <v>11</v>
      </c>
      <c r="G2" s="5" t="s">
        <v>54</v>
      </c>
      <c r="H2" s="5" t="s">
        <v>12</v>
      </c>
      <c r="I2" s="5" t="s">
        <v>13</v>
      </c>
      <c r="J2" s="5" t="s">
        <v>14</v>
      </c>
      <c r="K2" s="5" t="s">
        <v>15</v>
      </c>
      <c r="L2" s="5" t="s">
        <v>45</v>
      </c>
      <c r="M2" s="5" t="s">
        <v>46</v>
      </c>
      <c r="N2" s="5" t="s">
        <v>16</v>
      </c>
    </row>
    <row r="3" spans="1:14" x14ac:dyDescent="0.25">
      <c r="A3" t="s">
        <v>100</v>
      </c>
      <c r="B3" t="s">
        <v>50</v>
      </c>
      <c r="C3">
        <f>'Transaction Sheet'!D65</f>
        <v>147</v>
      </c>
      <c r="D3" s="6">
        <f>'Transaction Sheet'!D66</f>
        <v>212.11918367346939</v>
      </c>
      <c r="E3">
        <f ca="1">'Active Portfolio'!B12</f>
        <v>214.05</v>
      </c>
      <c r="F3">
        <f t="shared" ref="F3:F18" ca="1" si="0">E3*C3</f>
        <v>31465.350000000002</v>
      </c>
      <c r="G3" s="21">
        <f t="shared" ref="G3:G19" ca="1" si="1">F3/$F$24</f>
        <v>2.9518531418128404E-2</v>
      </c>
      <c r="H3">
        <f t="shared" ref="H3:H18" si="2">D3*C3</f>
        <v>31181.52</v>
      </c>
      <c r="I3" s="6">
        <f t="shared" ref="I3:I18" ca="1" si="3">F3-H3</f>
        <v>283.83000000000175</v>
      </c>
      <c r="J3" s="13">
        <f t="shared" ref="J3:J18" ca="1" si="4">(I3/H3)</f>
        <v>9.102506869453502E-3</v>
      </c>
      <c r="K3">
        <f ca="1">'Active Portfolio'!C12</f>
        <v>260.10000000000002</v>
      </c>
      <c r="L3" s="14">
        <f t="shared" ref="L3:L18" ca="1" si="5">(E3-K3)/K3</f>
        <v>-0.17704728950403695</v>
      </c>
      <c r="M3" s="13" t="str">
        <f t="shared" ref="M3:M18" ca="1" si="6">IF(L3&gt;=-0.03, "🚀 Breakout Watch", "")</f>
        <v/>
      </c>
      <c r="N3">
        <f ca="1">'Active Portfolio'!D12</f>
        <v>169.21010000000001</v>
      </c>
    </row>
    <row r="4" spans="1:14" x14ac:dyDescent="0.25">
      <c r="A4" t="s">
        <v>91</v>
      </c>
      <c r="B4" t="s">
        <v>50</v>
      </c>
      <c r="C4">
        <f>'Transaction Sheet'!D60</f>
        <v>141</v>
      </c>
      <c r="D4" s="6">
        <f>'Transaction Sheet'!D61</f>
        <v>217.5140425531915</v>
      </c>
      <c r="E4">
        <f ca="1">'Active Portfolio'!B11</f>
        <v>232.79</v>
      </c>
      <c r="F4">
        <f t="shared" ca="1" si="0"/>
        <v>32823.39</v>
      </c>
      <c r="G4" s="21">
        <f t="shared" ca="1" si="1"/>
        <v>3.0792547006929259E-2</v>
      </c>
      <c r="H4">
        <f t="shared" si="2"/>
        <v>30669.480000000003</v>
      </c>
      <c r="I4" s="6">
        <f t="shared" ca="1" si="3"/>
        <v>2153.9099999999962</v>
      </c>
      <c r="J4" s="13">
        <f t="shared" ca="1" si="4"/>
        <v>7.0229752835717987E-2</v>
      </c>
      <c r="K4">
        <f ca="1">'Active Portfolio'!C11</f>
        <v>242.52</v>
      </c>
      <c r="L4" s="14">
        <f t="shared" ca="1" si="5"/>
        <v>-4.0120402441035867E-2</v>
      </c>
      <c r="M4" s="13" t="str">
        <f t="shared" ca="1" si="6"/>
        <v/>
      </c>
      <c r="N4">
        <f ca="1">'Active Portfolio'!D11</f>
        <v>151.61000000000001</v>
      </c>
    </row>
    <row r="5" spans="1:14" x14ac:dyDescent="0.25">
      <c r="A5" t="s">
        <v>89</v>
      </c>
      <c r="B5" t="s">
        <v>102</v>
      </c>
      <c r="C5">
        <f>'Transaction Sheet'!D54</f>
        <v>65</v>
      </c>
      <c r="D5" s="6">
        <f>'Transaction Sheet'!D55</f>
        <v>391.83646153846155</v>
      </c>
      <c r="E5">
        <f ca="1">'Active Portfolio'!B10</f>
        <v>432.94</v>
      </c>
      <c r="F5">
        <f t="shared" ca="1" si="0"/>
        <v>28141.1</v>
      </c>
      <c r="G5" s="21">
        <f t="shared" ca="1" si="1"/>
        <v>2.639995882743059E-2</v>
      </c>
      <c r="H5">
        <f t="shared" si="2"/>
        <v>25469.37</v>
      </c>
      <c r="I5" s="6">
        <f t="shared" ca="1" si="3"/>
        <v>2671.7299999999996</v>
      </c>
      <c r="J5" s="13">
        <f t="shared" ca="1" si="4"/>
        <v>0.10489972857593256</v>
      </c>
      <c r="K5">
        <f ca="1">'Active Portfolio'!C10</f>
        <v>436.4</v>
      </c>
      <c r="L5" s="14">
        <f t="shared" ca="1" si="5"/>
        <v>-7.9285059578368001E-3</v>
      </c>
      <c r="M5" s="13" t="str">
        <f t="shared" ca="1" si="6"/>
        <v>🚀 Breakout Watch</v>
      </c>
      <c r="N5">
        <f ca="1">'Active Portfolio'!D10</f>
        <v>267.3</v>
      </c>
    </row>
    <row r="6" spans="1:14" x14ac:dyDescent="0.25">
      <c r="A6" s="28" t="s">
        <v>116</v>
      </c>
      <c r="B6" s="28" t="s">
        <v>102</v>
      </c>
      <c r="C6" s="28">
        <f>'Transaction Sheet'!D94</f>
        <v>288</v>
      </c>
      <c r="D6" s="41">
        <f>'Transaction Sheet'!D95</f>
        <v>153.19579861111112</v>
      </c>
      <c r="E6" s="6">
        <f ca="1">'Active Portfolio'!B16</f>
        <v>183.58</v>
      </c>
      <c r="F6">
        <f t="shared" ca="1" si="0"/>
        <v>52871.040000000001</v>
      </c>
      <c r="G6" s="21">
        <f t="shared" ca="1" si="1"/>
        <v>4.9599812344344602E-2</v>
      </c>
      <c r="H6">
        <f t="shared" si="2"/>
        <v>44120.39</v>
      </c>
      <c r="I6" s="6">
        <f t="shared" ca="1" si="3"/>
        <v>8750.6500000000015</v>
      </c>
      <c r="J6" s="13">
        <f t="shared" ca="1" si="4"/>
        <v>0.19833573547287323</v>
      </c>
      <c r="K6" s="6">
        <f ca="1">'Active Portfolio'!C16</f>
        <v>262.72000000000003</v>
      </c>
      <c r="L6" s="14">
        <f t="shared" ca="1" si="5"/>
        <v>-0.30123325213154689</v>
      </c>
      <c r="M6" s="13" t="str">
        <f t="shared" ca="1" si="6"/>
        <v/>
      </c>
      <c r="N6" s="6">
        <f ca="1">'Active Portfolio'!D16</f>
        <v>116.5625</v>
      </c>
    </row>
    <row r="7" spans="1:14" x14ac:dyDescent="0.25">
      <c r="A7" t="s">
        <v>22</v>
      </c>
      <c r="B7" t="s">
        <v>50</v>
      </c>
      <c r="C7">
        <f>'Transaction Sheet'!D17</f>
        <v>297</v>
      </c>
      <c r="D7" s="6">
        <f>'Transaction Sheet'!D18</f>
        <v>173.90966329966329</v>
      </c>
      <c r="E7">
        <f ca="1">'Active Portfolio'!B5</f>
        <v>193.42</v>
      </c>
      <c r="F7" s="6">
        <f t="shared" ca="1" si="0"/>
        <v>57445.74</v>
      </c>
      <c r="G7" s="21">
        <f t="shared" ca="1" si="1"/>
        <v>5.3891467313334683E-2</v>
      </c>
      <c r="H7">
        <f t="shared" si="2"/>
        <v>51651.17</v>
      </c>
      <c r="I7">
        <f t="shared" ca="1" si="3"/>
        <v>5794.57</v>
      </c>
      <c r="J7" s="13">
        <f t="shared" ca="1" si="4"/>
        <v>0.11218661648903597</v>
      </c>
      <c r="K7">
        <f ca="1">'Active Portfolio'!C5</f>
        <v>208.7</v>
      </c>
      <c r="L7" s="14">
        <f t="shared" ca="1" si="5"/>
        <v>-7.3215141351221855E-2</v>
      </c>
      <c r="M7" s="13" t="str">
        <f t="shared" ca="1" si="6"/>
        <v/>
      </c>
      <c r="N7">
        <f ca="1">'Active Portfolio'!D5</f>
        <v>142.66</v>
      </c>
    </row>
    <row r="8" spans="1:14" x14ac:dyDescent="0.25">
      <c r="A8" t="s">
        <v>95</v>
      </c>
      <c r="B8" t="s">
        <v>103</v>
      </c>
      <c r="C8">
        <f>'Transaction Sheet'!D71</f>
        <v>169</v>
      </c>
      <c r="D8" s="6">
        <f>'Transaction Sheet'!D72</f>
        <v>154.76343195266273</v>
      </c>
      <c r="E8">
        <f ca="1">'Active Portfolio'!B13</f>
        <v>166.22</v>
      </c>
      <c r="F8">
        <f t="shared" ca="1" si="0"/>
        <v>28091.18</v>
      </c>
      <c r="G8" s="21">
        <f t="shared" ca="1" si="1"/>
        <v>2.6353127468860198E-2</v>
      </c>
      <c r="H8">
        <f t="shared" si="2"/>
        <v>26155.02</v>
      </c>
      <c r="I8" s="6">
        <f t="shared" ca="1" si="3"/>
        <v>1936.1599999999999</v>
      </c>
      <c r="J8" s="13">
        <f t="shared" ca="1" si="4"/>
        <v>7.4026324583196648E-2</v>
      </c>
      <c r="K8">
        <f ca="1">'Active Portfolio'!C13</f>
        <v>169.99</v>
      </c>
      <c r="L8" s="14">
        <f t="shared" ca="1" si="5"/>
        <v>-2.2177775163244956E-2</v>
      </c>
      <c r="M8" s="13" t="str">
        <f t="shared" ca="1" si="6"/>
        <v>🚀 Breakout Watch</v>
      </c>
      <c r="N8">
        <f ca="1">'Active Portfolio'!D13</f>
        <v>140.68</v>
      </c>
    </row>
    <row r="9" spans="1:14" x14ac:dyDescent="0.25">
      <c r="A9" t="s">
        <v>28</v>
      </c>
      <c r="B9" t="s">
        <v>51</v>
      </c>
      <c r="C9">
        <f>'Transaction Sheet'!D30</f>
        <v>251</v>
      </c>
      <c r="D9" s="6">
        <f>'Transaction Sheet'!D31</f>
        <v>271.7551394422311</v>
      </c>
      <c r="E9">
        <f ca="1">'Active Portfolio'!B6</f>
        <v>298.27999999999997</v>
      </c>
      <c r="F9">
        <f t="shared" ca="1" si="0"/>
        <v>74868.28</v>
      </c>
      <c r="G9" s="21">
        <f t="shared" ca="1" si="1"/>
        <v>7.0236042993363626E-2</v>
      </c>
      <c r="H9">
        <f t="shared" si="2"/>
        <v>68210.540000000008</v>
      </c>
      <c r="I9">
        <f t="shared" ca="1" si="3"/>
        <v>6657.7399999999907</v>
      </c>
      <c r="J9" s="13">
        <f t="shared" ca="1" si="4"/>
        <v>9.7605736591441589E-2</v>
      </c>
      <c r="K9">
        <f ca="1">'Active Portfolio'!C6</f>
        <v>299.5899</v>
      </c>
      <c r="L9" s="14">
        <f t="shared" ca="1" si="5"/>
        <v>-4.3723102814882189E-3</v>
      </c>
      <c r="M9" s="13" t="str">
        <f t="shared" ca="1" si="6"/>
        <v>🚀 Breakout Watch</v>
      </c>
      <c r="N9">
        <f ca="1">'Active Portfolio'!D6</f>
        <v>190.9</v>
      </c>
    </row>
    <row r="10" spans="1:14" x14ac:dyDescent="0.25">
      <c r="A10" s="26" t="s">
        <v>117</v>
      </c>
      <c r="B10" s="26" t="s">
        <v>101</v>
      </c>
      <c r="C10" s="26">
        <f>'Transaction Sheet'!D101</f>
        <v>236</v>
      </c>
      <c r="D10" s="6">
        <f>'Transaction Sheet'!D102</f>
        <v>225.86050847457625</v>
      </c>
      <c r="E10" s="6">
        <f ca="1">'Active Portfolio'!B17</f>
        <v>228.48</v>
      </c>
      <c r="F10">
        <f t="shared" ca="1" si="0"/>
        <v>53921.279999999999</v>
      </c>
      <c r="G10" s="21">
        <f t="shared" ca="1" si="1"/>
        <v>5.0585072080421754E-2</v>
      </c>
      <c r="H10">
        <f t="shared" si="2"/>
        <v>53303.079999999994</v>
      </c>
      <c r="I10" s="6">
        <f t="shared" ca="1" si="3"/>
        <v>618.20000000000437</v>
      </c>
      <c r="J10" s="13">
        <f t="shared" ca="1" si="4"/>
        <v>1.1597828868425697E-2</v>
      </c>
      <c r="K10" s="6">
        <f ca="1">'Active Portfolio'!C17</f>
        <v>257.64999999999998</v>
      </c>
      <c r="L10" s="14">
        <f t="shared" ca="1" si="5"/>
        <v>-0.11321560256161456</v>
      </c>
      <c r="M10" s="13" t="str">
        <f t="shared" ca="1" si="6"/>
        <v/>
      </c>
      <c r="N10" s="6">
        <f ca="1">'Active Portfolio'!D17</f>
        <v>167.66319999999999</v>
      </c>
    </row>
    <row r="11" spans="1:14" x14ac:dyDescent="0.25">
      <c r="A11" t="s">
        <v>0</v>
      </c>
      <c r="B11" t="s">
        <v>49</v>
      </c>
      <c r="C11">
        <f>'Transaction Sheet'!D25</f>
        <v>49</v>
      </c>
      <c r="D11" s="6">
        <f>'Transaction Sheet'!D26</f>
        <v>1028.1032653061225</v>
      </c>
      <c r="E11">
        <f ca="1">'Active Portfolio'!B3</f>
        <v>1174.5999999999999</v>
      </c>
      <c r="F11" s="6">
        <f t="shared" ca="1" si="0"/>
        <v>57555.399999999994</v>
      </c>
      <c r="G11" s="21">
        <f t="shared" ca="1" si="1"/>
        <v>5.3994342449168599E-2</v>
      </c>
      <c r="H11">
        <f t="shared" si="2"/>
        <v>50377.06</v>
      </c>
      <c r="I11">
        <f t="shared" ca="1" si="3"/>
        <v>7178.3399999999965</v>
      </c>
      <c r="J11" s="13">
        <f t="shared" ca="1" si="4"/>
        <v>0.14249223753827628</v>
      </c>
      <c r="K11">
        <f ca="1">'Active Portfolio'!C3</f>
        <v>1341.15</v>
      </c>
      <c r="L11" s="14">
        <f t="shared" ca="1" si="5"/>
        <v>-0.12418446855310754</v>
      </c>
      <c r="M11" s="13" t="str">
        <f t="shared" ca="1" si="6"/>
        <v/>
      </c>
      <c r="N11">
        <f ca="1">'Active Portfolio'!D3</f>
        <v>587.04</v>
      </c>
    </row>
    <row r="12" spans="1:14" x14ac:dyDescent="0.25">
      <c r="A12" s="26" t="s">
        <v>127</v>
      </c>
      <c r="B12" s="26" t="s">
        <v>128</v>
      </c>
      <c r="C12" s="26">
        <f>'Transaction Sheet'!D111</f>
        <v>88</v>
      </c>
      <c r="D12" s="6">
        <f>'Transaction Sheet'!D112</f>
        <v>118.81238636363636</v>
      </c>
      <c r="E12" s="6">
        <f ca="1">'Active Portfolio'!B8</f>
        <v>144.52000000000001</v>
      </c>
      <c r="F12">
        <f t="shared" ca="1" si="0"/>
        <v>12717.76</v>
      </c>
      <c r="G12" s="21">
        <f t="shared" ca="1" si="1"/>
        <v>1.1930888997841012E-2</v>
      </c>
      <c r="H12">
        <f t="shared" si="2"/>
        <v>10455.49</v>
      </c>
      <c r="I12" s="6">
        <f t="shared" ca="1" si="3"/>
        <v>2262.2700000000004</v>
      </c>
      <c r="J12" s="13">
        <f t="shared" ca="1" si="4"/>
        <v>0.21637149478407999</v>
      </c>
      <c r="K12" s="6">
        <f ca="1">'Active Portfolio'!C8</f>
        <v>170.52</v>
      </c>
      <c r="L12" s="14">
        <f t="shared" ca="1" si="5"/>
        <v>-0.15247478301665493</v>
      </c>
      <c r="M12" s="13" t="str">
        <f t="shared" ca="1" si="6"/>
        <v/>
      </c>
      <c r="N12" s="6">
        <f ca="1">'Active Portfolio'!D8</f>
        <v>97.59</v>
      </c>
    </row>
    <row r="13" spans="1:14" x14ac:dyDescent="0.25">
      <c r="A13" t="s">
        <v>8</v>
      </c>
      <c r="B13" t="s">
        <v>50</v>
      </c>
      <c r="C13">
        <f>'Transaction Sheet'!D8</f>
        <v>267</v>
      </c>
      <c r="D13" s="6">
        <f>'Transaction Sheet'!D9</f>
        <v>118.81456928838952</v>
      </c>
      <c r="E13">
        <f ca="1">'Active Portfolio'!B4</f>
        <v>176.75</v>
      </c>
      <c r="F13" s="6">
        <f t="shared" ca="1" si="0"/>
        <v>47192.25</v>
      </c>
      <c r="G13" s="21">
        <f t="shared" ca="1" si="1"/>
        <v>4.4272379436973375E-2</v>
      </c>
      <c r="H13">
        <f t="shared" si="2"/>
        <v>31723.49</v>
      </c>
      <c r="I13" s="6">
        <f t="shared" ca="1" si="3"/>
        <v>15468.759999999998</v>
      </c>
      <c r="J13" s="13">
        <f t="shared" ca="1" si="4"/>
        <v>0.48761217633999276</v>
      </c>
      <c r="K13">
        <f ca="1">'Active Portfolio'!C4</f>
        <v>177</v>
      </c>
      <c r="L13" s="14">
        <f t="shared" ca="1" si="5"/>
        <v>-1.4124293785310734E-3</v>
      </c>
      <c r="M13" s="13" t="str">
        <f t="shared" ca="1" si="6"/>
        <v>🚀 Breakout Watch</v>
      </c>
      <c r="N13">
        <f ca="1">'Active Portfolio'!C4</f>
        <v>177</v>
      </c>
    </row>
    <row r="14" spans="1:14" x14ac:dyDescent="0.25">
      <c r="A14" s="28" t="s">
        <v>118</v>
      </c>
      <c r="B14" s="28" t="s">
        <v>121</v>
      </c>
      <c r="C14" s="28">
        <f>'Transaction Sheet'!D106</f>
        <v>199</v>
      </c>
      <c r="D14" s="6">
        <f>'Transaction Sheet'!D107</f>
        <v>69.495979899497485</v>
      </c>
      <c r="E14" s="6">
        <f ca="1">'Active Portfolio'!B18</f>
        <v>78.22</v>
      </c>
      <c r="F14">
        <f t="shared" ca="1" si="0"/>
        <v>15565.78</v>
      </c>
      <c r="G14" s="21">
        <f t="shared" ca="1" si="1"/>
        <v>1.4602696807048857E-2</v>
      </c>
      <c r="H14">
        <f t="shared" si="2"/>
        <v>13829.699999999999</v>
      </c>
      <c r="I14" s="6">
        <f t="shared" ca="1" si="3"/>
        <v>1736.0800000000017</v>
      </c>
      <c r="J14" s="13">
        <f t="shared" ca="1" si="4"/>
        <v>0.12553273028337578</v>
      </c>
      <c r="K14" s="6">
        <f ca="1">'Active Portfolio'!C18</f>
        <v>93.66</v>
      </c>
      <c r="L14" s="14">
        <f t="shared" ca="1" si="5"/>
        <v>-0.16485159086055945</v>
      </c>
      <c r="M14" s="13" t="str">
        <f t="shared" ca="1" si="6"/>
        <v/>
      </c>
      <c r="N14" s="6">
        <f ca="1">'Active Portfolio'!D18</f>
        <v>55.85</v>
      </c>
    </row>
    <row r="15" spans="1:14" x14ac:dyDescent="0.25">
      <c r="A15" t="s">
        <v>97</v>
      </c>
      <c r="B15" t="s">
        <v>163</v>
      </c>
      <c r="C15">
        <f>'Transaction Sheet'!D77</f>
        <v>94</v>
      </c>
      <c r="D15">
        <f>'Transaction Sheet'!E74</f>
        <v>514.79999999999995</v>
      </c>
      <c r="E15">
        <f ca="1">'Active Portfolio'!B15</f>
        <v>568.14</v>
      </c>
      <c r="F15">
        <f t="shared" ca="1" si="0"/>
        <v>53405.159999999996</v>
      </c>
      <c r="G15" s="21">
        <f t="shared" ca="1" si="1"/>
        <v>5.0100885365971591E-2</v>
      </c>
      <c r="H15">
        <f t="shared" si="2"/>
        <v>48391.199999999997</v>
      </c>
      <c r="I15" s="6">
        <f t="shared" ca="1" si="3"/>
        <v>5013.9599999999991</v>
      </c>
      <c r="J15" s="13">
        <f t="shared" ca="1" si="4"/>
        <v>0.1036130536130536</v>
      </c>
      <c r="K15">
        <f ca="1">'Active Portfolio'!C15</f>
        <v>569.04</v>
      </c>
      <c r="L15" s="14">
        <f t="shared" ca="1" si="5"/>
        <v>-1.5816111345423472E-3</v>
      </c>
      <c r="M15" s="13" t="str">
        <f t="shared" ca="1" si="6"/>
        <v>🚀 Breakout Watch</v>
      </c>
      <c r="N15">
        <f ca="1">'Active Portfolio'!D15</f>
        <v>402.39</v>
      </c>
    </row>
    <row r="16" spans="1:14" x14ac:dyDescent="0.25">
      <c r="A16" t="s">
        <v>99</v>
      </c>
      <c r="B16" t="s">
        <v>164</v>
      </c>
      <c r="C16">
        <v>31</v>
      </c>
      <c r="D16">
        <f>'Transaction Sheet'!E80</f>
        <v>588.14</v>
      </c>
      <c r="E16">
        <f ca="1">'Active Portfolio'!B14</f>
        <v>636.94000000000005</v>
      </c>
      <c r="F16">
        <f t="shared" ca="1" si="0"/>
        <v>19745.140000000003</v>
      </c>
      <c r="G16" s="21">
        <f t="shared" ca="1" si="1"/>
        <v>1.8523472182745273E-2</v>
      </c>
      <c r="H16">
        <f t="shared" si="2"/>
        <v>18232.34</v>
      </c>
      <c r="I16" s="6">
        <f t="shared" ca="1" si="3"/>
        <v>1512.8000000000029</v>
      </c>
      <c r="J16" s="13">
        <f t="shared" ca="1" si="4"/>
        <v>8.2973441697555161E-2</v>
      </c>
      <c r="K16">
        <f ca="1">'Active Portfolio'!C14</f>
        <v>638.04</v>
      </c>
      <c r="L16" s="14">
        <f t="shared" ca="1" si="5"/>
        <v>-1.7240298413891122E-3</v>
      </c>
      <c r="M16" s="13" t="str">
        <f t="shared" ca="1" si="6"/>
        <v>🚀 Breakout Watch</v>
      </c>
      <c r="N16">
        <f ca="1">'Active Portfolio'!D14</f>
        <v>481.8</v>
      </c>
    </row>
    <row r="17" spans="1:14" x14ac:dyDescent="0.25">
      <c r="A17" t="s">
        <v>40</v>
      </c>
      <c r="B17" t="s">
        <v>53</v>
      </c>
      <c r="C17">
        <f>'Transaction Sheet'!D41</f>
        <v>1513</v>
      </c>
      <c r="D17" s="6">
        <f>'Transaction Sheet'!D42</f>
        <v>67.399887640449421</v>
      </c>
      <c r="E17">
        <f ca="1">'Active Portfolio'!B7</f>
        <v>69.569999999999993</v>
      </c>
      <c r="F17">
        <f t="shared" ca="1" si="0"/>
        <v>105259.40999999999</v>
      </c>
      <c r="G17" s="21">
        <f t="shared" ca="1" si="1"/>
        <v>9.8746818361742636E-2</v>
      </c>
      <c r="H17" s="6">
        <f t="shared" si="2"/>
        <v>101976.02999999997</v>
      </c>
      <c r="I17">
        <f t="shared" ca="1" si="3"/>
        <v>3283.3800000000192</v>
      </c>
      <c r="J17" s="13">
        <f t="shared" ca="1" si="4"/>
        <v>3.2197566428110801E-2</v>
      </c>
      <c r="K17">
        <f ca="1">'Active Portfolio'!C7</f>
        <v>71.08</v>
      </c>
      <c r="L17" s="14">
        <f t="shared" ca="1" si="5"/>
        <v>-2.1243669105233613E-2</v>
      </c>
      <c r="M17" s="13" t="str">
        <f t="shared" ca="1" si="6"/>
        <v>🚀 Breakout Watch</v>
      </c>
      <c r="N17">
        <f ca="1">'Active Portfolio'!D7</f>
        <v>54.98</v>
      </c>
    </row>
    <row r="18" spans="1:14" x14ac:dyDescent="0.25">
      <c r="A18" t="s">
        <v>87</v>
      </c>
      <c r="B18" t="s">
        <v>101</v>
      </c>
      <c r="C18" s="16">
        <f>'Transaction Sheet'!D48</f>
        <v>174</v>
      </c>
      <c r="D18" s="6">
        <f>'Transaction Sheet'!D49</f>
        <v>109.70448275862068</v>
      </c>
      <c r="E18">
        <f ca="1">'Active Portfolio'!B9</f>
        <v>111.44</v>
      </c>
      <c r="F18">
        <f t="shared" ca="1" si="0"/>
        <v>19390.560000000001</v>
      </c>
      <c r="G18" s="21">
        <f t="shared" ca="1" si="1"/>
        <v>1.8190830693925346E-2</v>
      </c>
      <c r="H18">
        <f t="shared" si="2"/>
        <v>19088.579999999998</v>
      </c>
      <c r="I18" s="6">
        <f t="shared" ca="1" si="3"/>
        <v>301.9800000000032</v>
      </c>
      <c r="J18" s="13">
        <f t="shared" ca="1" si="4"/>
        <v>1.5819930031464008E-2</v>
      </c>
      <c r="K18">
        <f ca="1">'Active Portfolio'!C9</f>
        <v>126.34</v>
      </c>
      <c r="L18" s="14">
        <f t="shared" ca="1" si="5"/>
        <v>-0.11793572898527786</v>
      </c>
      <c r="M18" s="13" t="str">
        <f t="shared" ca="1" si="6"/>
        <v/>
      </c>
      <c r="N18">
        <f ca="1">'Active Portfolio'!D19</f>
        <v>202.95500000000001</v>
      </c>
    </row>
    <row r="19" spans="1:14" x14ac:dyDescent="0.25">
      <c r="A19" t="s">
        <v>148</v>
      </c>
      <c r="B19" t="s">
        <v>52</v>
      </c>
      <c r="C19">
        <f>'Transaction Sheet'!D114</f>
        <v>190</v>
      </c>
      <c r="D19" s="6">
        <f>'Transaction Sheet'!E114</f>
        <v>216.99</v>
      </c>
      <c r="E19">
        <f ca="1">'Active Portfolio'!B19</f>
        <v>218.27</v>
      </c>
      <c r="F19">
        <f ca="1">E19*C19</f>
        <v>41471.300000000003</v>
      </c>
      <c r="G19" s="21">
        <f t="shared" ca="1" si="1"/>
        <v>3.8905395045681315E-2</v>
      </c>
      <c r="H19" s="6">
        <f>D19*C19</f>
        <v>41228.1</v>
      </c>
      <c r="I19">
        <f ca="1">F19-H19</f>
        <v>243.20000000000437</v>
      </c>
      <c r="J19" s="13">
        <f ca="1">(I19/H19)</f>
        <v>5.8988893497397251E-3</v>
      </c>
      <c r="K19">
        <f ca="1">'Active Portfolio'!C19</f>
        <v>226.64</v>
      </c>
      <c r="L19" s="14">
        <f ca="1">(E19-K19)/K19</f>
        <v>-3.6930815390045786E-2</v>
      </c>
      <c r="M19" s="13" t="str">
        <f ca="1">IF(L19&gt;=-0.03, "🚀 Breakout Watch", "")</f>
        <v/>
      </c>
    </row>
    <row r="20" spans="1:14" x14ac:dyDescent="0.25">
      <c r="A20" t="s">
        <v>165</v>
      </c>
      <c r="B20" t="s">
        <v>51</v>
      </c>
      <c r="C20">
        <f>'Transaction Sheet'!D118</f>
        <v>20</v>
      </c>
      <c r="D20" s="6">
        <f>'Transaction Sheet'!E117</f>
        <v>557.82000000000005</v>
      </c>
      <c r="E20">
        <f ca="1">'Active Portfolio'!B20</f>
        <v>568.28</v>
      </c>
      <c r="F20">
        <f ca="1">E20*C20</f>
        <v>11365.599999999999</v>
      </c>
      <c r="G20" s="21">
        <f ca="1">F20/$F$24</f>
        <v>1.0662389602717915E-2</v>
      </c>
      <c r="H20" s="6">
        <f>D20*C20</f>
        <v>11156.400000000001</v>
      </c>
      <c r="I20">
        <f ca="1">F20-H20</f>
        <v>209.19999999999709</v>
      </c>
      <c r="J20" s="13">
        <f ca="1">(I20/H20)</f>
        <v>1.8751568606360212E-2</v>
      </c>
      <c r="K20">
        <f ca="1">'Active Portfolio'!C20</f>
        <v>594.71</v>
      </c>
      <c r="L20" s="14">
        <f ca="1">(E20-K20)/K20</f>
        <v>-4.4441828790503041E-2</v>
      </c>
      <c r="M20" s="13" t="str">
        <f ca="1">IF(L20&gt;=-0.03, "🚀 Breakout Watch", "")</f>
        <v/>
      </c>
      <c r="N20">
        <f ca="1">'Active Portfolio'!D20</f>
        <v>566.22</v>
      </c>
    </row>
    <row r="21" spans="1:14" x14ac:dyDescent="0.25">
      <c r="A21" t="s">
        <v>168</v>
      </c>
      <c r="B21" t="s">
        <v>51</v>
      </c>
      <c r="C21">
        <f>'Transaction Sheet'!D121</f>
        <v>32</v>
      </c>
      <c r="D21" s="6">
        <f>'Transaction Sheet'!E120</f>
        <v>353</v>
      </c>
      <c r="E21">
        <f ca="1">'Active Portfolio'!B21</f>
        <v>355.47</v>
      </c>
      <c r="F21">
        <f ca="1">E21*C21</f>
        <v>11375.04</v>
      </c>
      <c r="G21" s="21">
        <f ca="1">F21/$F$24</f>
        <v>1.0671245532703984E-2</v>
      </c>
      <c r="H21" s="6">
        <f>D21*C21</f>
        <v>11296</v>
      </c>
      <c r="I21">
        <f ca="1">F21-H21</f>
        <v>79.040000000000873</v>
      </c>
      <c r="J21" s="13">
        <f ca="1">(I21/H21)</f>
        <v>6.9971671388102752E-3</v>
      </c>
      <c r="K21">
        <f ca="1">'Active Portfolio'!C21</f>
        <v>375.51</v>
      </c>
      <c r="L21" s="14">
        <f ca="1">(E21-K21)/K21</f>
        <v>-5.3367420308380507E-2</v>
      </c>
      <c r="M21" s="13" t="str">
        <f ca="1">IF(L21&gt;=-0.03, "🚀 Breakout Watch", "")</f>
        <v/>
      </c>
      <c r="N21">
        <f ca="1">'Active Portfolio'!D21</f>
        <v>254.51</v>
      </c>
    </row>
    <row r="22" spans="1:14" x14ac:dyDescent="0.25">
      <c r="A22" s="3" t="s">
        <v>81</v>
      </c>
      <c r="F22" s="20">
        <f>'Summary Dashboard'!B4</f>
        <v>363102.99</v>
      </c>
      <c r="G22" s="21"/>
      <c r="I22" s="19">
        <f ca="1">SUM(Table2[Gain/Loss])</f>
        <v>66155.800000000017</v>
      </c>
      <c r="J22" s="43"/>
      <c r="L22" s="45"/>
      <c r="M22" s="13"/>
    </row>
    <row r="23" spans="1:14" x14ac:dyDescent="0.25">
      <c r="A23" s="3" t="s">
        <v>11</v>
      </c>
      <c r="F23" s="19">
        <f ca="1">SUM(Table2[Market Value])</f>
        <v>754670.76000000024</v>
      </c>
      <c r="G23" s="21"/>
      <c r="H23" s="19"/>
      <c r="I23" s="19"/>
      <c r="J23" s="44"/>
      <c r="L23" s="45"/>
      <c r="M23" s="13"/>
    </row>
    <row r="24" spans="1:14" x14ac:dyDescent="0.25">
      <c r="A24" s="3" t="s">
        <v>74</v>
      </c>
      <c r="F24" s="20">
        <f>'Summary Dashboard'!B3</f>
        <v>1065952.42</v>
      </c>
    </row>
  </sheetData>
  <conditionalFormatting sqref="G3">
    <cfRule type="expression" dxfId="87" priority="83">
      <formula>AND($G$3&gt;=0.05, $G$3&lt;=0.1)</formula>
    </cfRule>
  </conditionalFormatting>
  <conditionalFormatting sqref="G4">
    <cfRule type="expression" dxfId="86" priority="82">
      <formula>AND($G$4&gt;=0.05, $G$4&lt;=0.1)</formula>
    </cfRule>
  </conditionalFormatting>
  <conditionalFormatting sqref="G5">
    <cfRule type="expression" dxfId="85" priority="80">
      <formula>AND($G$5&gt;=0.05, $G$5&lt;=0.1)</formula>
    </cfRule>
  </conditionalFormatting>
  <conditionalFormatting sqref="G6">
    <cfRule type="expression" dxfId="84" priority="79">
      <formula>AND($G$6&gt;=0.05, $G$6&lt;=0.1)</formula>
    </cfRule>
  </conditionalFormatting>
  <conditionalFormatting sqref="G7">
    <cfRule type="expression" dxfId="83" priority="78">
      <formula>AND($G$7&gt;=0.05, $G$7&lt;=0.1)</formula>
    </cfRule>
  </conditionalFormatting>
  <conditionalFormatting sqref="G8 G10:G13">
    <cfRule type="expression" dxfId="82" priority="74">
      <formula>AND(F2&gt;=0.05, F2&lt;=0.1)</formula>
    </cfRule>
  </conditionalFormatting>
  <conditionalFormatting sqref="G9">
    <cfRule type="expression" dxfId="81" priority="93">
      <formula>AND(F2&gt;=0.05, F2&lt;=0.1)</formula>
    </cfRule>
  </conditionalFormatting>
  <conditionalFormatting sqref="G14:G16">
    <cfRule type="expression" dxfId="80" priority="111">
      <formula>AND(F9&gt;=0.05, F9&lt;=0.1)</formula>
    </cfRule>
  </conditionalFormatting>
  <conditionalFormatting sqref="G22">
    <cfRule type="expression" dxfId="79" priority="81">
      <formula>AND($G$22&gt;=0.05, $G$22&lt;=0.1)</formula>
    </cfRule>
  </conditionalFormatting>
  <conditionalFormatting sqref="G23">
    <cfRule type="expression" dxfId="78" priority="109">
      <formula>AND(F11&gt;=0.05, F11&lt;=0.1)</formula>
    </cfRule>
  </conditionalFormatting>
  <conditionalFormatting sqref="J3">
    <cfRule type="expression" dxfId="77" priority="7">
      <formula>AND($J$3&gt;=0.05, $J$3&lt;=0.1)</formula>
    </cfRule>
    <cfRule type="cellIs" dxfId="76" priority="8" operator="lessThan">
      <formula>0.05</formula>
    </cfRule>
    <cfRule type="cellIs" dxfId="75" priority="9" operator="greaterThan">
      <formula>0.1</formula>
    </cfRule>
  </conditionalFormatting>
  <conditionalFormatting sqref="J3:J16">
    <cfRule type="cellIs" dxfId="74" priority="66" operator="greaterThan">
      <formula>0.1</formula>
    </cfRule>
  </conditionalFormatting>
  <conditionalFormatting sqref="J4">
    <cfRule type="cellIs" dxfId="73" priority="58" stopIfTrue="1" operator="lessThan">
      <formula>0.05</formula>
    </cfRule>
    <cfRule type="expression" dxfId="72" priority="60">
      <formula>AND($J$4&gt;=0.05, $J$4&lt;=0.1)</formula>
    </cfRule>
  </conditionalFormatting>
  <conditionalFormatting sqref="J5">
    <cfRule type="expression" dxfId="71" priority="50">
      <formula>AND($J$5&gt;=0.05, $J$5&lt;=0.1)</formula>
    </cfRule>
    <cfRule type="cellIs" dxfId="70" priority="52" operator="greaterThan">
      <formula>0.1</formula>
    </cfRule>
    <cfRule type="cellIs" dxfId="69" priority="53" operator="lessThan">
      <formula>0.05</formula>
    </cfRule>
  </conditionalFormatting>
  <conditionalFormatting sqref="J6">
    <cfRule type="expression" dxfId="68" priority="47">
      <formula>AND($J$6&gt;=0.05, $J$6&lt;=0.1)</formula>
    </cfRule>
    <cfRule type="cellIs" dxfId="67" priority="48" operator="greaterThan">
      <formula>0.1</formula>
    </cfRule>
    <cfRule type="cellIs" dxfId="66" priority="49" operator="lessThan">
      <formula>0.05</formula>
    </cfRule>
  </conditionalFormatting>
  <conditionalFormatting sqref="J7">
    <cfRule type="expression" dxfId="65" priority="44">
      <formula>AND($J$7&gt;=0.05, $J$7&lt;=0.1)</formula>
    </cfRule>
    <cfRule type="cellIs" dxfId="64" priority="45" operator="lessThan">
      <formula>0.05</formula>
    </cfRule>
    <cfRule type="cellIs" dxfId="63" priority="46" operator="greaterThan">
      <formula>0.1</formula>
    </cfRule>
  </conditionalFormatting>
  <conditionalFormatting sqref="J8">
    <cfRule type="expression" dxfId="62" priority="41">
      <formula>AND($J$8&gt;=0.05, $J$8&lt;=0.1)</formula>
    </cfRule>
    <cfRule type="cellIs" dxfId="61" priority="42" operator="lessThan">
      <formula>0.05</formula>
    </cfRule>
    <cfRule type="cellIs" dxfId="60" priority="43" operator="greaterThan">
      <formula>0.1</formula>
    </cfRule>
  </conditionalFormatting>
  <conditionalFormatting sqref="J9">
    <cfRule type="expression" dxfId="59" priority="38">
      <formula>AND($J$9&gt;=0.05, $J$9&lt;=0.1)</formula>
    </cfRule>
    <cfRule type="cellIs" dxfId="58" priority="39" operator="lessThan">
      <formula>0.05</formula>
    </cfRule>
    <cfRule type="cellIs" dxfId="57" priority="40" operator="greaterThan">
      <formula>0.1</formula>
    </cfRule>
  </conditionalFormatting>
  <conditionalFormatting sqref="J10">
    <cfRule type="expression" dxfId="56" priority="30">
      <formula>AND($J$10&gt;=0.05, $J$10&lt;=0.1)</formula>
    </cfRule>
    <cfRule type="cellIs" dxfId="55" priority="31" operator="greaterThan">
      <formula>0.1</formula>
    </cfRule>
  </conditionalFormatting>
  <conditionalFormatting sqref="J10:J11">
    <cfRule type="expression" dxfId="54" priority="32">
      <formula>AND($J$11&gt;=0.05, $J$11&lt;=0.1)</formula>
    </cfRule>
    <cfRule type="cellIs" dxfId="53" priority="33" operator="lessThan">
      <formula>0.05</formula>
    </cfRule>
    <cfRule type="cellIs" dxfId="52" priority="34" operator="greaterThan">
      <formula>0.1</formula>
    </cfRule>
  </conditionalFormatting>
  <conditionalFormatting sqref="J12">
    <cfRule type="expression" dxfId="51" priority="27">
      <formula>AND($J$12&gt;=0.05, $J$12&lt;=0.1)</formula>
    </cfRule>
    <cfRule type="cellIs" dxfId="50" priority="28" operator="lessThan">
      <formula>0.05</formula>
    </cfRule>
    <cfRule type="cellIs" dxfId="49" priority="29" operator="greaterThan">
      <formula>0.1</formula>
    </cfRule>
  </conditionalFormatting>
  <conditionalFormatting sqref="J13">
    <cfRule type="expression" dxfId="48" priority="24">
      <formula>AND($J$13&gt;=0.05, $J$13&lt;=0.1)</formula>
    </cfRule>
    <cfRule type="cellIs" dxfId="47" priority="25" operator="greaterThan">
      <formula>0.1</formula>
    </cfRule>
    <cfRule type="cellIs" dxfId="46" priority="26" operator="lessThan">
      <formula>0.05</formula>
    </cfRule>
  </conditionalFormatting>
  <conditionalFormatting sqref="J14">
    <cfRule type="expression" dxfId="45" priority="18">
      <formula>AND($J$14&gt;=0.05, $J$14&lt;=0.1)</formula>
    </cfRule>
    <cfRule type="cellIs" dxfId="44" priority="19" operator="lessThan">
      <formula>0.05</formula>
    </cfRule>
    <cfRule type="cellIs" dxfId="43" priority="20" operator="greaterThan">
      <formula>0.1</formula>
    </cfRule>
  </conditionalFormatting>
  <conditionalFormatting sqref="J15">
    <cfRule type="expression" dxfId="42" priority="15">
      <formula>AND($J$15&gt;=0.05, $J$15&lt;=0.1)</formula>
    </cfRule>
    <cfRule type="cellIs" dxfId="41" priority="16" operator="lessThan">
      <formula>0.05</formula>
    </cfRule>
    <cfRule type="cellIs" dxfId="40" priority="17" operator="greaterThan">
      <formula>0.1</formula>
    </cfRule>
  </conditionalFormatting>
  <conditionalFormatting sqref="J16 J23">
    <cfRule type="cellIs" dxfId="39" priority="13" operator="greaterThan">
      <formula>0.1</formula>
    </cfRule>
    <cfRule type="cellIs" dxfId="38" priority="14" operator="lessThan">
      <formula>0.05</formula>
    </cfRule>
  </conditionalFormatting>
  <conditionalFormatting sqref="J17 J19:J21">
    <cfRule type="expression" dxfId="37" priority="6">
      <formula>AND($J$17&gt;=0.05, $J$17&lt;=0.1)</formula>
    </cfRule>
  </conditionalFormatting>
  <conditionalFormatting sqref="J17:J21">
    <cfRule type="cellIs" dxfId="36" priority="1" operator="lessThan">
      <formula>0.05</formula>
    </cfRule>
    <cfRule type="cellIs" dxfId="35" priority="2" operator="greaterThan">
      <formula>0.1</formula>
    </cfRule>
  </conditionalFormatting>
  <conditionalFormatting sqref="J18:J21">
    <cfRule type="expression" dxfId="34" priority="3">
      <formula>AND($J$18&gt;=0.05, $J$18&lt;=0.1)</formula>
    </cfRule>
  </conditionalFormatting>
  <conditionalFormatting sqref="J22">
    <cfRule type="expression" dxfId="33" priority="55">
      <formula>AND($J$22&gt;=0.05, $J$22&lt;=0.1)</formula>
    </cfRule>
    <cfRule type="cellIs" dxfId="32" priority="57" operator="lessThan">
      <formula>0.05</formula>
    </cfRule>
  </conditionalFormatting>
  <conditionalFormatting sqref="J22:J23">
    <cfRule type="cellIs" dxfId="31" priority="56" operator="greaterThan">
      <formula>0.1</formula>
    </cfRule>
  </conditionalFormatting>
  <conditionalFormatting sqref="J23 J16">
    <cfRule type="expression" dxfId="30" priority="11">
      <formula>AND($J$16&gt;=0.05, $J$16&lt;=0.1)</formula>
    </cfRule>
  </conditionalFormatting>
  <conditionalFormatting sqref="J23">
    <cfRule type="cellIs" dxfId="29" priority="10" operator="lessThan">
      <formula>0.05</formula>
    </cfRule>
  </conditionalFormatting>
  <conditionalFormatting sqref="L3:L16 L22:L23">
    <cfRule type="cellIs" dxfId="28" priority="68" operator="greaterThan">
      <formula>-0.05</formula>
    </cfRule>
    <cfRule type="cellIs" dxfId="27" priority="69" operator="greaterThan">
      <formula>"&gt;.05"</formula>
    </cfRule>
  </conditionalFormatting>
  <conditionalFormatting sqref="M3:M23">
    <cfRule type="cellIs" dxfId="26" priority="85" operator="equal">
      <formula>"🚀 Breakout Watch"</formula>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4245A-60CA-4536-A53F-7D0BD08F0A69}">
  <dimension ref="A1:G121"/>
  <sheetViews>
    <sheetView workbookViewId="0">
      <pane ySplit="1" topLeftCell="A102" activePane="bottomLeft" state="frozen"/>
      <selection pane="bottomLeft" activeCell="D107" sqref="D107"/>
    </sheetView>
  </sheetViews>
  <sheetFormatPr defaultRowHeight="15" x14ac:dyDescent="0.25"/>
  <cols>
    <col min="1" max="1" width="30.85546875" customWidth="1"/>
    <col min="2" max="2" width="14.28515625" bestFit="1" customWidth="1"/>
    <col min="3" max="3" width="14.42578125" customWidth="1"/>
    <col min="4" max="4" width="18.28515625" customWidth="1"/>
    <col min="5" max="5" width="18.7109375" customWidth="1"/>
    <col min="6" max="6" width="18.85546875" customWidth="1"/>
    <col min="7" max="7" width="57.28515625" customWidth="1"/>
  </cols>
  <sheetData>
    <row r="1" spans="1:7" ht="18.75" customHeight="1" x14ac:dyDescent="0.25">
      <c r="A1" s="3" t="s">
        <v>35</v>
      </c>
      <c r="B1" s="4" t="s">
        <v>17</v>
      </c>
      <c r="C1" s="4" t="s">
        <v>9</v>
      </c>
      <c r="D1" s="4" t="s">
        <v>129</v>
      </c>
      <c r="E1" s="4" t="s">
        <v>18</v>
      </c>
      <c r="F1" s="4" t="s">
        <v>19</v>
      </c>
      <c r="G1" s="4" t="s">
        <v>145</v>
      </c>
    </row>
    <row r="2" spans="1:7" x14ac:dyDescent="0.25">
      <c r="A2" t="s">
        <v>36</v>
      </c>
      <c r="B2" s="7">
        <v>45627</v>
      </c>
      <c r="C2" t="s">
        <v>8</v>
      </c>
      <c r="D2">
        <v>100</v>
      </c>
      <c r="E2">
        <v>137.09</v>
      </c>
      <c r="F2">
        <f>D2*E2</f>
        <v>13709</v>
      </c>
    </row>
    <row r="3" spans="1:7" x14ac:dyDescent="0.25">
      <c r="A3" t="s">
        <v>36</v>
      </c>
      <c r="B3" s="7">
        <v>45628</v>
      </c>
      <c r="C3" t="s">
        <v>8</v>
      </c>
      <c r="D3">
        <v>200</v>
      </c>
      <c r="E3">
        <v>136</v>
      </c>
      <c r="F3">
        <f>D3*E3</f>
        <v>27200</v>
      </c>
    </row>
    <row r="4" spans="1:7" x14ac:dyDescent="0.25">
      <c r="A4" t="s">
        <v>36</v>
      </c>
      <c r="B4" s="7">
        <v>45784</v>
      </c>
      <c r="C4" t="s">
        <v>8</v>
      </c>
      <c r="D4">
        <v>100</v>
      </c>
      <c r="E4">
        <v>112.89</v>
      </c>
      <c r="F4">
        <f>D4*E4</f>
        <v>11289</v>
      </c>
    </row>
    <row r="5" spans="1:7" x14ac:dyDescent="0.25">
      <c r="A5" t="s">
        <v>36</v>
      </c>
      <c r="B5" s="7">
        <v>45795</v>
      </c>
      <c r="C5" t="s">
        <v>8</v>
      </c>
      <c r="D5">
        <v>-31</v>
      </c>
      <c r="E5">
        <v>132.69</v>
      </c>
      <c r="F5">
        <f>D5*E5</f>
        <v>-4113.3900000000003</v>
      </c>
    </row>
    <row r="6" spans="1:7" x14ac:dyDescent="0.25">
      <c r="B6" s="7">
        <v>45836</v>
      </c>
      <c r="C6" t="s">
        <v>8</v>
      </c>
      <c r="D6">
        <v>-55</v>
      </c>
      <c r="E6">
        <v>157.94</v>
      </c>
      <c r="F6">
        <f>D6*E6-10</f>
        <v>-8696.7000000000007</v>
      </c>
    </row>
    <row r="7" spans="1:7" x14ac:dyDescent="0.25">
      <c r="B7" s="7">
        <v>45847</v>
      </c>
      <c r="C7" t="s">
        <v>8</v>
      </c>
      <c r="D7">
        <v>-47</v>
      </c>
      <c r="E7">
        <v>162.86000000000001</v>
      </c>
      <c r="F7">
        <f>D7*E7-10</f>
        <v>-7664.420000000001</v>
      </c>
    </row>
    <row r="8" spans="1:7" x14ac:dyDescent="0.25">
      <c r="B8" t="s">
        <v>20</v>
      </c>
      <c r="D8">
        <f>SUM(D2:D7)</f>
        <v>267</v>
      </c>
      <c r="F8">
        <f>SUM(F2:F7)</f>
        <v>31723.49</v>
      </c>
    </row>
    <row r="9" spans="1:7" x14ac:dyDescent="0.25">
      <c r="B9" s="3" t="s">
        <v>21</v>
      </c>
      <c r="D9" s="6">
        <f>F8/D8</f>
        <v>118.81456928838952</v>
      </c>
    </row>
    <row r="11" spans="1:7" x14ac:dyDescent="0.25">
      <c r="A11" t="s">
        <v>37</v>
      </c>
      <c r="B11" s="7">
        <v>45670</v>
      </c>
      <c r="C11" t="s">
        <v>22</v>
      </c>
      <c r="D11">
        <v>50</v>
      </c>
      <c r="E11">
        <v>190.56</v>
      </c>
      <c r="F11">
        <f t="shared" ref="F11:F16" si="0">D11*E11</f>
        <v>9528</v>
      </c>
    </row>
    <row r="12" spans="1:7" x14ac:dyDescent="0.25">
      <c r="A12" t="s">
        <v>37</v>
      </c>
      <c r="B12" s="7">
        <v>45784</v>
      </c>
      <c r="C12" t="s">
        <v>22</v>
      </c>
      <c r="D12">
        <v>100</v>
      </c>
      <c r="E12">
        <v>166.49</v>
      </c>
      <c r="F12">
        <f t="shared" si="0"/>
        <v>16649</v>
      </c>
    </row>
    <row r="13" spans="1:7" x14ac:dyDescent="0.25">
      <c r="A13" t="s">
        <v>37</v>
      </c>
      <c r="B13" s="7">
        <v>45791</v>
      </c>
      <c r="C13" t="s">
        <v>22</v>
      </c>
      <c r="D13">
        <v>50</v>
      </c>
      <c r="E13">
        <v>166.81</v>
      </c>
      <c r="F13">
        <f t="shared" si="0"/>
        <v>8340.5</v>
      </c>
    </row>
    <row r="14" spans="1:7" x14ac:dyDescent="0.25">
      <c r="A14" t="s">
        <v>37</v>
      </c>
      <c r="B14" s="7">
        <v>45798</v>
      </c>
      <c r="C14" t="s">
        <v>22</v>
      </c>
      <c r="D14">
        <v>40</v>
      </c>
      <c r="E14">
        <v>172.9</v>
      </c>
      <c r="F14">
        <f t="shared" si="0"/>
        <v>6916</v>
      </c>
    </row>
    <row r="15" spans="1:7" x14ac:dyDescent="0.25">
      <c r="A15" t="s">
        <v>37</v>
      </c>
      <c r="B15" s="7">
        <v>45804</v>
      </c>
      <c r="C15" t="s">
        <v>22</v>
      </c>
      <c r="D15">
        <v>27</v>
      </c>
      <c r="E15">
        <v>173.21</v>
      </c>
      <c r="F15">
        <f t="shared" si="0"/>
        <v>4676.67</v>
      </c>
    </row>
    <row r="16" spans="1:7" x14ac:dyDescent="0.25">
      <c r="B16" s="7">
        <v>45855</v>
      </c>
      <c r="C16" t="s">
        <v>22</v>
      </c>
      <c r="D16">
        <v>30</v>
      </c>
      <c r="E16">
        <v>184.7</v>
      </c>
      <c r="F16">
        <f t="shared" si="0"/>
        <v>5541</v>
      </c>
    </row>
    <row r="17" spans="1:6" x14ac:dyDescent="0.25">
      <c r="B17" t="s">
        <v>20</v>
      </c>
      <c r="D17">
        <f>SUM(D11:D16)</f>
        <v>297</v>
      </c>
      <c r="F17">
        <f>SUM(F11:F16)</f>
        <v>51651.17</v>
      </c>
    </row>
    <row r="18" spans="1:6" x14ac:dyDescent="0.25">
      <c r="B18" s="3" t="s">
        <v>21</v>
      </c>
      <c r="D18" s="6">
        <f>F17/D17</f>
        <v>173.90966329966329</v>
      </c>
    </row>
    <row r="19" spans="1:6" x14ac:dyDescent="0.25">
      <c r="B19" s="3" t="s">
        <v>31</v>
      </c>
    </row>
    <row r="20" spans="1:6" x14ac:dyDescent="0.25">
      <c r="A20" t="s">
        <v>38</v>
      </c>
      <c r="B20" s="7">
        <v>45665</v>
      </c>
      <c r="C20" t="s">
        <v>0</v>
      </c>
      <c r="D20">
        <v>25</v>
      </c>
      <c r="E20">
        <v>876.86</v>
      </c>
      <c r="F20">
        <f>E20*D20</f>
        <v>21921.5</v>
      </c>
    </row>
    <row r="21" spans="1:6" x14ac:dyDescent="0.25">
      <c r="A21" t="s">
        <v>38</v>
      </c>
      <c r="B21" s="7">
        <v>45684</v>
      </c>
      <c r="C21" t="s">
        <v>0</v>
      </c>
      <c r="D21">
        <v>8</v>
      </c>
      <c r="E21">
        <v>1203.24</v>
      </c>
      <c r="F21">
        <f>E21*D21</f>
        <v>9625.92</v>
      </c>
    </row>
    <row r="22" spans="1:6" x14ac:dyDescent="0.25">
      <c r="B22" s="7">
        <v>45815</v>
      </c>
      <c r="C22" t="s">
        <v>0</v>
      </c>
      <c r="D22">
        <v>6</v>
      </c>
      <c r="E22">
        <v>1234.81</v>
      </c>
      <c r="F22">
        <f>E22*D22</f>
        <v>7408.86</v>
      </c>
    </row>
    <row r="23" spans="1:6" x14ac:dyDescent="0.25">
      <c r="B23" s="7">
        <v>45835</v>
      </c>
      <c r="C23" t="s">
        <v>0</v>
      </c>
      <c r="D23">
        <v>-6</v>
      </c>
      <c r="E23">
        <v>1322.51</v>
      </c>
      <c r="F23">
        <f>E23*D23</f>
        <v>-7935.0599999999995</v>
      </c>
    </row>
    <row r="24" spans="1:6" x14ac:dyDescent="0.25">
      <c r="B24" s="7">
        <v>45856</v>
      </c>
      <c r="C24" t="s">
        <v>0</v>
      </c>
      <c r="D24">
        <v>16</v>
      </c>
      <c r="E24">
        <v>1209.74</v>
      </c>
      <c r="F24">
        <f>E24*D24</f>
        <v>19355.84</v>
      </c>
    </row>
    <row r="25" spans="1:6" x14ac:dyDescent="0.25">
      <c r="B25" s="7" t="s">
        <v>20</v>
      </c>
      <c r="D25">
        <f>SUM(D20:D24)</f>
        <v>49</v>
      </c>
      <c r="F25">
        <f>SUM(F20:F24)</f>
        <v>50377.06</v>
      </c>
    </row>
    <row r="26" spans="1:6" x14ac:dyDescent="0.25">
      <c r="B26" s="3" t="s">
        <v>21</v>
      </c>
      <c r="D26" s="6">
        <f>F25/D25</f>
        <v>1028.1032653061225</v>
      </c>
    </row>
    <row r="27" spans="1:6" x14ac:dyDescent="0.25">
      <c r="B27" s="3"/>
    </row>
    <row r="28" spans="1:6" x14ac:dyDescent="0.25">
      <c r="A28" t="s">
        <v>30</v>
      </c>
      <c r="B28" s="7">
        <v>45792</v>
      </c>
      <c r="C28" t="s">
        <v>29</v>
      </c>
      <c r="D28">
        <v>187</v>
      </c>
      <c r="E28">
        <v>268.42</v>
      </c>
      <c r="F28">
        <f>D28*E28</f>
        <v>50194.54</v>
      </c>
    </row>
    <row r="29" spans="1:6" x14ac:dyDescent="0.25">
      <c r="B29" s="7">
        <v>45833</v>
      </c>
      <c r="C29" t="s">
        <v>29</v>
      </c>
      <c r="D29">
        <v>64</v>
      </c>
      <c r="E29">
        <v>281.5</v>
      </c>
      <c r="F29">
        <f>D29*E29</f>
        <v>18016</v>
      </c>
    </row>
    <row r="30" spans="1:6" x14ac:dyDescent="0.25">
      <c r="B30" s="7" t="s">
        <v>20</v>
      </c>
      <c r="D30">
        <f>SUM(D28:D29)</f>
        <v>251</v>
      </c>
      <c r="F30">
        <f>SUM(F28:F29)</f>
        <v>68210.540000000008</v>
      </c>
    </row>
    <row r="31" spans="1:6" x14ac:dyDescent="0.25">
      <c r="B31" s="3" t="s">
        <v>21</v>
      </c>
      <c r="D31" s="6">
        <f>F30/D30</f>
        <v>271.7551394422311</v>
      </c>
    </row>
    <row r="32" spans="1:6" x14ac:dyDescent="0.25">
      <c r="B32" s="7"/>
    </row>
    <row r="33" spans="1:6" x14ac:dyDescent="0.25">
      <c r="A33" t="s">
        <v>33</v>
      </c>
      <c r="B33" s="7">
        <v>45792</v>
      </c>
      <c r="C33" t="s">
        <v>32</v>
      </c>
      <c r="D33">
        <v>350</v>
      </c>
      <c r="E33">
        <v>71.61</v>
      </c>
      <c r="F33">
        <f>D33*E33</f>
        <v>25063.5</v>
      </c>
    </row>
    <row r="34" spans="1:6" x14ac:dyDescent="0.25">
      <c r="B34" s="7">
        <v>45834</v>
      </c>
      <c r="C34" t="s">
        <v>32</v>
      </c>
      <c r="D34">
        <v>-350</v>
      </c>
      <c r="E34">
        <v>69.31</v>
      </c>
      <c r="F34">
        <f>D34*E34</f>
        <v>-24258.5</v>
      </c>
    </row>
    <row r="35" spans="1:6" x14ac:dyDescent="0.25">
      <c r="B35" s="7" t="s">
        <v>20</v>
      </c>
      <c r="D35">
        <f>SUM(D33:D34)</f>
        <v>0</v>
      </c>
      <c r="F35">
        <f>SUM(F33:F34)</f>
        <v>805</v>
      </c>
    </row>
    <row r="37" spans="1:6" x14ac:dyDescent="0.25">
      <c r="A37" t="s">
        <v>42</v>
      </c>
      <c r="B37" s="7">
        <v>45792</v>
      </c>
      <c r="C37" t="s">
        <v>40</v>
      </c>
      <c r="D37">
        <v>755</v>
      </c>
      <c r="E37">
        <v>66.209999999999994</v>
      </c>
      <c r="F37">
        <f>D37*E37</f>
        <v>49988.549999999996</v>
      </c>
    </row>
    <row r="38" spans="1:6" x14ac:dyDescent="0.25">
      <c r="B38" s="7">
        <v>45795</v>
      </c>
      <c r="C38" t="s">
        <v>40</v>
      </c>
      <c r="D38">
        <v>-92</v>
      </c>
      <c r="E38">
        <v>66.16</v>
      </c>
      <c r="F38">
        <f>D38*E38</f>
        <v>-6086.7199999999993</v>
      </c>
    </row>
    <row r="39" spans="1:6" x14ac:dyDescent="0.25">
      <c r="B39" s="7">
        <v>45815</v>
      </c>
      <c r="C39" t="s">
        <v>40</v>
      </c>
      <c r="D39">
        <v>630</v>
      </c>
      <c r="E39">
        <v>68.099999999999994</v>
      </c>
      <c r="F39">
        <f>D39*E39</f>
        <v>42903</v>
      </c>
    </row>
    <row r="40" spans="1:6" x14ac:dyDescent="0.25">
      <c r="B40" s="7">
        <v>45842</v>
      </c>
      <c r="C40" t="s">
        <v>40</v>
      </c>
      <c r="D40">
        <v>220</v>
      </c>
      <c r="E40">
        <v>68.959999999999994</v>
      </c>
      <c r="F40">
        <f>D40*E40</f>
        <v>15171.199999999999</v>
      </c>
    </row>
    <row r="41" spans="1:6" x14ac:dyDescent="0.25">
      <c r="B41" s="7" t="s">
        <v>20</v>
      </c>
      <c r="D41">
        <f>SUM(D37:D40)</f>
        <v>1513</v>
      </c>
      <c r="F41">
        <f>SUM(F37:F40)</f>
        <v>101976.02999999998</v>
      </c>
    </row>
    <row r="42" spans="1:6" x14ac:dyDescent="0.25">
      <c r="B42" s="3" t="s">
        <v>21</v>
      </c>
      <c r="D42" s="6">
        <f>F41/D41</f>
        <v>67.399887640449421</v>
      </c>
    </row>
    <row r="44" spans="1:6" x14ac:dyDescent="0.25">
      <c r="A44" t="s">
        <v>86</v>
      </c>
      <c r="B44" s="7">
        <v>45795</v>
      </c>
      <c r="C44" t="s">
        <v>87</v>
      </c>
      <c r="D44">
        <v>29</v>
      </c>
      <c r="E44">
        <v>107.56</v>
      </c>
      <c r="F44">
        <f>D44*E44</f>
        <v>3119.2400000000002</v>
      </c>
    </row>
    <row r="45" spans="1:6" x14ac:dyDescent="0.25">
      <c r="B45" s="7">
        <v>45822</v>
      </c>
      <c r="C45" t="s">
        <v>87</v>
      </c>
      <c r="D45">
        <v>100</v>
      </c>
      <c r="E45">
        <v>112.04</v>
      </c>
      <c r="F45">
        <f>D45*E45</f>
        <v>11204</v>
      </c>
    </row>
    <row r="46" spans="1:6" x14ac:dyDescent="0.25">
      <c r="B46" s="7">
        <v>45833</v>
      </c>
      <c r="C46" t="s">
        <v>87</v>
      </c>
      <c r="D46">
        <v>103</v>
      </c>
      <c r="E46">
        <v>108.5</v>
      </c>
      <c r="F46">
        <f>D46*E46</f>
        <v>11175.5</v>
      </c>
    </row>
    <row r="47" spans="1:6" x14ac:dyDescent="0.25">
      <c r="B47" s="7">
        <v>45856</v>
      </c>
      <c r="C47" t="s">
        <v>87</v>
      </c>
      <c r="D47">
        <v>-58</v>
      </c>
      <c r="E47">
        <v>110.52</v>
      </c>
      <c r="F47">
        <f>D47*E47</f>
        <v>-6410.16</v>
      </c>
    </row>
    <row r="48" spans="1:6" x14ac:dyDescent="0.25">
      <c r="B48" s="7" t="s">
        <v>20</v>
      </c>
      <c r="D48" s="16">
        <f>SUM(D44:D47)</f>
        <v>174</v>
      </c>
      <c r="F48">
        <f>SUM(F44:F47)</f>
        <v>19088.579999999998</v>
      </c>
    </row>
    <row r="49" spans="1:6" x14ac:dyDescent="0.25">
      <c r="B49" s="3" t="s">
        <v>21</v>
      </c>
      <c r="D49" s="6">
        <f>F48/D48</f>
        <v>109.70448275862068</v>
      </c>
    </row>
    <row r="51" spans="1:6" x14ac:dyDescent="0.25">
      <c r="A51" t="s">
        <v>88</v>
      </c>
      <c r="B51" s="7">
        <v>45795</v>
      </c>
      <c r="C51" t="s">
        <v>89</v>
      </c>
      <c r="D51">
        <v>9</v>
      </c>
      <c r="E51">
        <v>350.49</v>
      </c>
      <c r="F51">
        <f>D51*E51</f>
        <v>3154.41</v>
      </c>
    </row>
    <row r="52" spans="1:6" ht="16.5" customHeight="1" x14ac:dyDescent="0.25">
      <c r="B52" s="7">
        <v>45836</v>
      </c>
      <c r="C52" t="s">
        <v>89</v>
      </c>
      <c r="D52">
        <v>-2</v>
      </c>
      <c r="E52">
        <v>385.83</v>
      </c>
      <c r="F52">
        <f>D52*E52-10</f>
        <v>-781.66</v>
      </c>
    </row>
    <row r="53" spans="1:6" ht="16.5" customHeight="1" x14ac:dyDescent="0.25">
      <c r="B53" s="7">
        <v>45842</v>
      </c>
      <c r="C53" t="s">
        <v>89</v>
      </c>
      <c r="D53">
        <v>58</v>
      </c>
      <c r="E53">
        <v>398.39</v>
      </c>
      <c r="F53">
        <f>D53*E53-10</f>
        <v>23096.62</v>
      </c>
    </row>
    <row r="54" spans="1:6" x14ac:dyDescent="0.25">
      <c r="B54" s="7" t="s">
        <v>20</v>
      </c>
      <c r="D54">
        <f>SUM(D51:D53)</f>
        <v>65</v>
      </c>
      <c r="F54">
        <f>SUM(F51:F53)</f>
        <v>25469.37</v>
      </c>
    </row>
    <row r="55" spans="1:6" x14ac:dyDescent="0.25">
      <c r="B55" s="3" t="s">
        <v>21</v>
      </c>
      <c r="D55" s="6">
        <f>F54/D54</f>
        <v>391.83646153846155</v>
      </c>
    </row>
    <row r="57" spans="1:6" x14ac:dyDescent="0.25">
      <c r="A57" t="s">
        <v>90</v>
      </c>
      <c r="B57" s="7">
        <v>45795</v>
      </c>
      <c r="C57" t="s">
        <v>91</v>
      </c>
      <c r="D57">
        <v>20</v>
      </c>
      <c r="E57">
        <v>202.04</v>
      </c>
      <c r="F57">
        <f>D57*E57</f>
        <v>4040.7999999999997</v>
      </c>
    </row>
    <row r="58" spans="1:6" x14ac:dyDescent="0.25">
      <c r="B58" s="7">
        <v>45817</v>
      </c>
      <c r="C58" t="s">
        <v>91</v>
      </c>
      <c r="D58">
        <v>59</v>
      </c>
      <c r="E58">
        <v>216.9</v>
      </c>
      <c r="F58">
        <f>D58*E58</f>
        <v>12797.1</v>
      </c>
    </row>
    <row r="59" spans="1:6" x14ac:dyDescent="0.25">
      <c r="B59" s="7">
        <v>45842</v>
      </c>
      <c r="C59" t="s">
        <v>91</v>
      </c>
      <c r="D59">
        <v>62</v>
      </c>
      <c r="E59">
        <v>223.09</v>
      </c>
      <c r="F59">
        <f>D59*E59</f>
        <v>13831.58</v>
      </c>
    </row>
    <row r="60" spans="1:6" x14ac:dyDescent="0.25">
      <c r="B60" s="7" t="s">
        <v>20</v>
      </c>
      <c r="D60">
        <f>SUM(D57:D59)</f>
        <v>141</v>
      </c>
      <c r="F60">
        <f>SUM(F57:F59)</f>
        <v>30669.480000000003</v>
      </c>
    </row>
    <row r="61" spans="1:6" x14ac:dyDescent="0.25">
      <c r="B61" s="3" t="s">
        <v>21</v>
      </c>
      <c r="D61" s="6">
        <f>F60/D60</f>
        <v>217.5140425531915</v>
      </c>
    </row>
    <row r="63" spans="1:6" x14ac:dyDescent="0.25">
      <c r="A63" t="s">
        <v>93</v>
      </c>
      <c r="B63" s="7">
        <v>45795</v>
      </c>
      <c r="C63" t="s">
        <v>92</v>
      </c>
      <c r="D63">
        <v>20</v>
      </c>
      <c r="E63">
        <v>208.05</v>
      </c>
      <c r="F63">
        <f>D63*E63</f>
        <v>4161</v>
      </c>
    </row>
    <row r="64" spans="1:6" x14ac:dyDescent="0.25">
      <c r="B64" s="7">
        <v>45842</v>
      </c>
      <c r="C64" t="s">
        <v>92</v>
      </c>
      <c r="D64">
        <v>127</v>
      </c>
      <c r="E64">
        <v>212.76</v>
      </c>
      <c r="F64">
        <f>D64*E64</f>
        <v>27020.52</v>
      </c>
    </row>
    <row r="65" spans="1:6" x14ac:dyDescent="0.25">
      <c r="B65" s="7" t="s">
        <v>20</v>
      </c>
      <c r="D65">
        <f>SUM(D63:D64)</f>
        <v>147</v>
      </c>
      <c r="F65">
        <f>SUM(F63:F64)</f>
        <v>31181.52</v>
      </c>
    </row>
    <row r="66" spans="1:6" x14ac:dyDescent="0.25">
      <c r="B66" s="3" t="s">
        <v>21</v>
      </c>
      <c r="D66" s="6">
        <f>F65/D65</f>
        <v>212.11918367346939</v>
      </c>
    </row>
    <row r="68" spans="1:6" x14ac:dyDescent="0.25">
      <c r="A68" t="s">
        <v>94</v>
      </c>
      <c r="B68" s="7">
        <v>45795</v>
      </c>
      <c r="C68" t="s">
        <v>95</v>
      </c>
      <c r="D68">
        <v>41</v>
      </c>
      <c r="E68">
        <v>151.82</v>
      </c>
      <c r="F68">
        <f>D68*E68</f>
        <v>6224.62</v>
      </c>
    </row>
    <row r="69" spans="1:6" x14ac:dyDescent="0.25">
      <c r="B69" s="7">
        <v>45810</v>
      </c>
      <c r="C69" t="s">
        <v>95</v>
      </c>
      <c r="D69">
        <v>60</v>
      </c>
      <c r="E69">
        <v>155.09</v>
      </c>
      <c r="F69">
        <f>D69*E69</f>
        <v>9305.4</v>
      </c>
    </row>
    <row r="70" spans="1:6" x14ac:dyDescent="0.25">
      <c r="B70" s="7">
        <v>45842</v>
      </c>
      <c r="C70" t="s">
        <v>95</v>
      </c>
      <c r="D70">
        <v>68</v>
      </c>
      <c r="E70">
        <v>156.25</v>
      </c>
      <c r="F70">
        <f>D70*E70</f>
        <v>10625</v>
      </c>
    </row>
    <row r="71" spans="1:6" x14ac:dyDescent="0.25">
      <c r="B71" s="7" t="s">
        <v>20</v>
      </c>
      <c r="D71">
        <f>SUM(D68:D70)</f>
        <v>169</v>
      </c>
      <c r="F71">
        <f>SUM(F68:F70)</f>
        <v>26155.02</v>
      </c>
    </row>
    <row r="72" spans="1:6" x14ac:dyDescent="0.25">
      <c r="B72" s="3" t="s">
        <v>21</v>
      </c>
      <c r="D72" s="6">
        <f>F71/D71</f>
        <v>154.76343195266273</v>
      </c>
    </row>
    <row r="74" spans="1:6" x14ac:dyDescent="0.25">
      <c r="A74" t="s">
        <v>96</v>
      </c>
      <c r="B74" s="7">
        <v>45795</v>
      </c>
      <c r="C74" t="s">
        <v>97</v>
      </c>
      <c r="D74">
        <v>36</v>
      </c>
      <c r="E74">
        <v>514.79999999999995</v>
      </c>
      <c r="F74">
        <f>D74*E74</f>
        <v>18532.8</v>
      </c>
    </row>
    <row r="75" spans="1:6" x14ac:dyDescent="0.25">
      <c r="B75" s="7">
        <v>45815</v>
      </c>
      <c r="C75" t="s">
        <v>97</v>
      </c>
      <c r="D75">
        <v>15</v>
      </c>
      <c r="E75">
        <v>529.79999999999995</v>
      </c>
      <c r="F75">
        <f>D75*E75</f>
        <v>7946.9999999999991</v>
      </c>
    </row>
    <row r="76" spans="1:6" x14ac:dyDescent="0.25">
      <c r="B76" s="7">
        <v>45853</v>
      </c>
      <c r="C76" t="s">
        <v>97</v>
      </c>
      <c r="D76">
        <v>43</v>
      </c>
      <c r="E76">
        <v>560.25</v>
      </c>
      <c r="F76">
        <f>D76*E76</f>
        <v>24090.75</v>
      </c>
    </row>
    <row r="77" spans="1:6" x14ac:dyDescent="0.25">
      <c r="B77" s="7" t="s">
        <v>20</v>
      </c>
      <c r="D77">
        <f>SUM(D74:D76)</f>
        <v>94</v>
      </c>
      <c r="F77">
        <f>SUM(F74:F76)</f>
        <v>50570.55</v>
      </c>
    </row>
    <row r="78" spans="1:6" x14ac:dyDescent="0.25">
      <c r="B78" s="3" t="s">
        <v>21</v>
      </c>
      <c r="D78" s="6">
        <f>F77/D77</f>
        <v>537.98457446808516</v>
      </c>
    </row>
    <row r="80" spans="1:6" x14ac:dyDescent="0.25">
      <c r="A80" t="s">
        <v>98</v>
      </c>
      <c r="B80" s="7">
        <v>45795</v>
      </c>
      <c r="C80" t="s">
        <v>99</v>
      </c>
      <c r="D80">
        <v>31</v>
      </c>
      <c r="E80">
        <v>588.14</v>
      </c>
      <c r="F80">
        <f>D80*E80</f>
        <v>18232.34</v>
      </c>
    </row>
    <row r="81" spans="1:6" x14ac:dyDescent="0.25">
      <c r="B81" s="7" t="s">
        <v>20</v>
      </c>
      <c r="D81">
        <f>SUM(D80)</f>
        <v>31</v>
      </c>
      <c r="F81">
        <f>SUM(F80)</f>
        <v>18232.34</v>
      </c>
    </row>
    <row r="83" spans="1:6" x14ac:dyDescent="0.25">
      <c r="A83" t="s">
        <v>109</v>
      </c>
      <c r="B83" s="7">
        <v>45797</v>
      </c>
      <c r="C83" t="s">
        <v>110</v>
      </c>
      <c r="D83">
        <v>38</v>
      </c>
      <c r="E83">
        <v>165.56</v>
      </c>
      <c r="F83">
        <f>D83*E83</f>
        <v>6291.28</v>
      </c>
    </row>
    <row r="84" spans="1:6" x14ac:dyDescent="0.25">
      <c r="B84" s="7">
        <v>45807</v>
      </c>
      <c r="C84" t="s">
        <v>110</v>
      </c>
      <c r="D84">
        <v>218</v>
      </c>
      <c r="E84">
        <v>169.44</v>
      </c>
      <c r="F84">
        <f>D84*E84</f>
        <v>36937.919999999998</v>
      </c>
    </row>
    <row r="85" spans="1:6" x14ac:dyDescent="0.25">
      <c r="B85" s="7">
        <v>45834</v>
      </c>
      <c r="C85" t="s">
        <v>110</v>
      </c>
      <c r="D85">
        <v>-256</v>
      </c>
      <c r="E85">
        <v>157.54</v>
      </c>
      <c r="F85">
        <f>D85*E85</f>
        <v>-40330.239999999998</v>
      </c>
    </row>
    <row r="86" spans="1:6" x14ac:dyDescent="0.25">
      <c r="B86" s="7" t="s">
        <v>20</v>
      </c>
      <c r="D86">
        <f>SUM(D83:D85)</f>
        <v>0</v>
      </c>
      <c r="F86">
        <f>SUM(F83:F85)</f>
        <v>2898.9599999999991</v>
      </c>
    </row>
    <row r="87" spans="1:6" x14ac:dyDescent="0.25">
      <c r="B87" s="3" t="s">
        <v>21</v>
      </c>
      <c r="D87" s="6" t="e">
        <f>F86/D86</f>
        <v>#DIV/0!</v>
      </c>
    </row>
    <row r="89" spans="1:6" x14ac:dyDescent="0.25">
      <c r="A89" t="s">
        <v>119</v>
      </c>
      <c r="B89" s="7">
        <v>45806</v>
      </c>
      <c r="C89" t="s">
        <v>116</v>
      </c>
      <c r="D89">
        <v>240</v>
      </c>
      <c r="E89">
        <v>156.38</v>
      </c>
      <c r="F89">
        <f>D89*E89</f>
        <v>37531.199999999997</v>
      </c>
    </row>
    <row r="90" spans="1:6" x14ac:dyDescent="0.25">
      <c r="B90" s="7">
        <v>45828</v>
      </c>
      <c r="C90" t="s">
        <v>116</v>
      </c>
      <c r="D90">
        <v>-60</v>
      </c>
      <c r="E90">
        <v>146.55000000000001</v>
      </c>
      <c r="F90">
        <f>D90*E90</f>
        <v>-8793</v>
      </c>
    </row>
    <row r="91" spans="1:6" x14ac:dyDescent="0.25">
      <c r="B91" s="7">
        <v>45833</v>
      </c>
      <c r="C91" t="s">
        <v>116</v>
      </c>
      <c r="D91">
        <v>153</v>
      </c>
      <c r="E91">
        <v>151.83000000000001</v>
      </c>
      <c r="F91">
        <f>D91*E91</f>
        <v>23229.99</v>
      </c>
    </row>
    <row r="92" spans="1:6" x14ac:dyDescent="0.25">
      <c r="B92" s="7">
        <v>45840</v>
      </c>
      <c r="C92" t="s">
        <v>116</v>
      </c>
      <c r="D92">
        <v>-50</v>
      </c>
      <c r="E92">
        <v>174.31</v>
      </c>
      <c r="F92">
        <f>D92*E92</f>
        <v>-8715.5</v>
      </c>
    </row>
    <row r="93" spans="1:6" x14ac:dyDescent="0.25">
      <c r="B93" s="7" t="s">
        <v>161</v>
      </c>
      <c r="C93" t="s">
        <v>116</v>
      </c>
      <c r="D93">
        <v>5</v>
      </c>
      <c r="E93">
        <v>173.54</v>
      </c>
      <c r="F93">
        <f>D93*E93</f>
        <v>867.69999999999993</v>
      </c>
    </row>
    <row r="94" spans="1:6" x14ac:dyDescent="0.25">
      <c r="B94" s="7" t="s">
        <v>20</v>
      </c>
      <c r="D94">
        <f>SUM(D89:D93)</f>
        <v>288</v>
      </c>
      <c r="F94">
        <f>SUM(F89:F93)</f>
        <v>44120.39</v>
      </c>
    </row>
    <row r="95" spans="1:6" x14ac:dyDescent="0.25">
      <c r="B95" s="3" t="s">
        <v>21</v>
      </c>
      <c r="D95" s="6">
        <f>F94/D94</f>
        <v>153.19579861111112</v>
      </c>
    </row>
    <row r="97" spans="1:6" x14ac:dyDescent="0.25">
      <c r="A97" t="s">
        <v>120</v>
      </c>
      <c r="B97" s="7">
        <v>45806</v>
      </c>
      <c r="C97" t="s">
        <v>117</v>
      </c>
      <c r="D97">
        <v>162</v>
      </c>
      <c r="E97">
        <v>230.98</v>
      </c>
      <c r="F97">
        <f>D97*E97</f>
        <v>37418.759999999995</v>
      </c>
    </row>
    <row r="98" spans="1:6" x14ac:dyDescent="0.25">
      <c r="B98" s="7">
        <v>45834</v>
      </c>
      <c r="C98" t="s">
        <v>117</v>
      </c>
      <c r="D98">
        <v>-40</v>
      </c>
      <c r="E98">
        <v>237.44</v>
      </c>
      <c r="F98">
        <f>D98*E98</f>
        <v>-9497.6</v>
      </c>
    </row>
    <row r="99" spans="1:6" x14ac:dyDescent="0.25">
      <c r="B99" s="7">
        <v>45854</v>
      </c>
      <c r="C99" t="s">
        <v>117</v>
      </c>
      <c r="D99">
        <v>-40</v>
      </c>
      <c r="E99">
        <v>233.55</v>
      </c>
      <c r="F99">
        <f>D99*E99</f>
        <v>-9342</v>
      </c>
    </row>
    <row r="100" spans="1:6" x14ac:dyDescent="0.25">
      <c r="B100" s="7">
        <v>45863</v>
      </c>
      <c r="C100" t="s">
        <v>117</v>
      </c>
      <c r="D100">
        <v>154</v>
      </c>
      <c r="E100">
        <v>225.48</v>
      </c>
      <c r="F100">
        <f>D100*E100</f>
        <v>34723.919999999998</v>
      </c>
    </row>
    <row r="101" spans="1:6" x14ac:dyDescent="0.25">
      <c r="B101" s="7" t="s">
        <v>20</v>
      </c>
      <c r="D101">
        <f>SUM(D97:D100)</f>
        <v>236</v>
      </c>
      <c r="F101">
        <f>SUM(F97:F100)</f>
        <v>53303.079999999994</v>
      </c>
    </row>
    <row r="102" spans="1:6" x14ac:dyDescent="0.25">
      <c r="B102" s="3" t="s">
        <v>21</v>
      </c>
      <c r="D102" s="6">
        <f>F101/D101</f>
        <v>225.86050847457625</v>
      </c>
    </row>
    <row r="104" spans="1:6" x14ac:dyDescent="0.25">
      <c r="A104" t="s">
        <v>160</v>
      </c>
      <c r="B104" s="7">
        <v>45806</v>
      </c>
      <c r="C104" t="s">
        <v>118</v>
      </c>
      <c r="D104">
        <v>265</v>
      </c>
      <c r="E104">
        <v>70.680000000000007</v>
      </c>
      <c r="F104">
        <f>D104*E104</f>
        <v>18730.2</v>
      </c>
    </row>
    <row r="105" spans="1:6" x14ac:dyDescent="0.25">
      <c r="B105" s="7">
        <v>45839</v>
      </c>
      <c r="C105" t="s">
        <v>118</v>
      </c>
      <c r="D105">
        <v>-66</v>
      </c>
      <c r="E105">
        <v>74.25</v>
      </c>
      <c r="F105">
        <f>D105*E105</f>
        <v>-4900.5</v>
      </c>
    </row>
    <row r="106" spans="1:6" x14ac:dyDescent="0.25">
      <c r="B106" s="7" t="s">
        <v>20</v>
      </c>
      <c r="D106">
        <f>SUM(D104:D105)</f>
        <v>199</v>
      </c>
      <c r="F106">
        <f>SUM(F104:F105)</f>
        <v>13829.7</v>
      </c>
    </row>
    <row r="107" spans="1:6" x14ac:dyDescent="0.25">
      <c r="B107" s="3" t="s">
        <v>21</v>
      </c>
      <c r="D107" s="6">
        <f>F106/D106</f>
        <v>69.495979899497485</v>
      </c>
    </row>
    <row r="109" spans="1:6" x14ac:dyDescent="0.25">
      <c r="A109" t="s">
        <v>126</v>
      </c>
      <c r="B109" s="7">
        <v>45812</v>
      </c>
      <c r="C109" t="s">
        <v>127</v>
      </c>
      <c r="D109">
        <v>103</v>
      </c>
      <c r="E109">
        <v>121.63</v>
      </c>
      <c r="F109">
        <f>D109*E109</f>
        <v>12527.89</v>
      </c>
    </row>
    <row r="110" spans="1:6" x14ac:dyDescent="0.25">
      <c r="B110" s="7">
        <v>45840</v>
      </c>
      <c r="C110" t="s">
        <v>127</v>
      </c>
      <c r="D110">
        <v>-15</v>
      </c>
      <c r="E110">
        <v>138.16</v>
      </c>
      <c r="F110">
        <f>D110*E110</f>
        <v>-2072.4</v>
      </c>
    </row>
    <row r="111" spans="1:6" x14ac:dyDescent="0.25">
      <c r="B111" s="7" t="s">
        <v>20</v>
      </c>
      <c r="D111">
        <f>SUM(D109:D110)</f>
        <v>88</v>
      </c>
      <c r="F111">
        <f>SUM(F109:F110)</f>
        <v>10455.49</v>
      </c>
    </row>
    <row r="112" spans="1:6" x14ac:dyDescent="0.25">
      <c r="B112" s="3" t="s">
        <v>21</v>
      </c>
      <c r="D112" s="6">
        <f>F111/D111</f>
        <v>118.81238636363636</v>
      </c>
    </row>
    <row r="114" spans="1:6" x14ac:dyDescent="0.25">
      <c r="A114" t="s">
        <v>147</v>
      </c>
      <c r="B114" s="7">
        <v>45834</v>
      </c>
      <c r="C114" t="s">
        <v>148</v>
      </c>
      <c r="D114">
        <v>190</v>
      </c>
      <c r="E114">
        <v>216.99</v>
      </c>
      <c r="F114">
        <f>D114*E114</f>
        <v>41228.1</v>
      </c>
    </row>
    <row r="115" spans="1:6" x14ac:dyDescent="0.25">
      <c r="B115" s="7" t="s">
        <v>20</v>
      </c>
      <c r="D115">
        <f>SUM(D114)</f>
        <v>190</v>
      </c>
    </row>
    <row r="117" spans="1:6" x14ac:dyDescent="0.25">
      <c r="A117" t="s">
        <v>166</v>
      </c>
      <c r="B117" s="7">
        <v>45859</v>
      </c>
      <c r="C117" t="s">
        <v>165</v>
      </c>
      <c r="D117">
        <v>20</v>
      </c>
      <c r="E117">
        <v>557.82000000000005</v>
      </c>
      <c r="F117">
        <f>D117*E117</f>
        <v>11156.400000000001</v>
      </c>
    </row>
    <row r="118" spans="1:6" x14ac:dyDescent="0.25">
      <c r="B118" t="s">
        <v>20</v>
      </c>
      <c r="D118">
        <f>SUM(D117)</f>
        <v>20</v>
      </c>
      <c r="F118">
        <f>SUM(F117)</f>
        <v>11156.400000000001</v>
      </c>
    </row>
    <row r="120" spans="1:6" x14ac:dyDescent="0.25">
      <c r="A120" t="s">
        <v>167</v>
      </c>
      <c r="B120" s="7">
        <v>45859</v>
      </c>
      <c r="C120" t="s">
        <v>168</v>
      </c>
      <c r="D120">
        <v>32</v>
      </c>
      <c r="E120">
        <v>353</v>
      </c>
      <c r="F120">
        <f>D120*E120</f>
        <v>11296</v>
      </c>
    </row>
    <row r="121" spans="1:6" x14ac:dyDescent="0.25">
      <c r="B121" t="s">
        <v>20</v>
      </c>
      <c r="D121">
        <f>SUM(D120)</f>
        <v>32</v>
      </c>
      <c r="F121">
        <f>SUM(F120)</f>
        <v>11296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FFEA2-DE65-4643-9597-4C7663ABB084}">
  <dimension ref="A1:N19"/>
  <sheetViews>
    <sheetView zoomScaleNormal="100" workbookViewId="0">
      <pane ySplit="1" topLeftCell="A2" activePane="bottomLeft" state="frozen"/>
      <selection pane="bottomLeft" activeCell="E5" sqref="E5"/>
    </sheetView>
  </sheetViews>
  <sheetFormatPr defaultRowHeight="15" x14ac:dyDescent="0.25"/>
  <cols>
    <col min="1" max="1" width="14.28515625" customWidth="1"/>
    <col min="2" max="2" width="15.42578125" customWidth="1"/>
    <col min="3" max="3" width="15.5703125" customWidth="1"/>
    <col min="4" max="4" width="16.140625" customWidth="1"/>
    <col min="5" max="5" width="20.5703125" customWidth="1"/>
    <col min="6" max="6" width="21.5703125" customWidth="1"/>
    <col min="7" max="7" width="19.28515625" customWidth="1"/>
    <col min="8" max="8" width="17.42578125" customWidth="1"/>
    <col min="9" max="9" width="24.5703125" customWidth="1"/>
    <col min="10" max="10" width="18.5703125" customWidth="1"/>
    <col min="11" max="11" width="15.140625" customWidth="1"/>
    <col min="12" max="12" width="15.42578125" customWidth="1"/>
    <col min="13" max="13" width="21.140625" bestFit="1" customWidth="1"/>
    <col min="14" max="14" width="44.42578125" customWidth="1"/>
  </cols>
  <sheetData>
    <row r="1" spans="1:14" x14ac:dyDescent="0.25">
      <c r="A1" s="5" t="s">
        <v>9</v>
      </c>
      <c r="B1" s="17" t="s">
        <v>23</v>
      </c>
      <c r="C1" s="17" t="s">
        <v>133</v>
      </c>
      <c r="D1" s="17" t="s">
        <v>122</v>
      </c>
      <c r="E1" s="17" t="s">
        <v>123</v>
      </c>
      <c r="F1" s="17" t="s">
        <v>124</v>
      </c>
      <c r="G1" s="17" t="s">
        <v>152</v>
      </c>
      <c r="H1" s="17" t="s">
        <v>125</v>
      </c>
      <c r="I1" s="17" t="s">
        <v>151</v>
      </c>
      <c r="J1" s="17" t="s">
        <v>153</v>
      </c>
      <c r="K1" s="17" t="s">
        <v>154</v>
      </c>
      <c r="L1" s="17" t="s">
        <v>155</v>
      </c>
      <c r="M1" s="17" t="s">
        <v>157</v>
      </c>
      <c r="N1" s="17" t="s">
        <v>158</v>
      </c>
    </row>
    <row r="2" spans="1:14" x14ac:dyDescent="0.25">
      <c r="A2" s="29" t="s">
        <v>146</v>
      </c>
      <c r="B2" s="6">
        <f ca="1">'Active Portfolio'!B4</f>
        <v>176.75</v>
      </c>
      <c r="C2" s="6">
        <f>'Holdings Sheet'!D13</f>
        <v>118.81456928838952</v>
      </c>
      <c r="D2" s="6">
        <f t="shared" ref="D2:D9" ca="1" si="0">B2</f>
        <v>176.75</v>
      </c>
      <c r="E2" s="6">
        <f ca="1">D2*0.9545</f>
        <v>168.707875</v>
      </c>
      <c r="F2" t="str">
        <f ca="1">IF(B2&lt;=E2, "Triggered Stop Loss", "✅ Active")</f>
        <v>✅ Active</v>
      </c>
      <c r="G2" s="13">
        <f t="shared" ref="G2:G11" ca="1" si="1">(B2-E2)/B2</f>
        <v>4.5499999999999992E-2</v>
      </c>
      <c r="H2" t="str">
        <f t="shared" ref="H2:H19" ca="1" si="2">IF(G2&lt;=3%,"Near Stop Zone", " ")</f>
        <v xml:space="preserve"> </v>
      </c>
      <c r="J2">
        <f>ROUND(Table4[[#This Row],[Entry Price]] * 1.4, 2)</f>
        <v>166.34</v>
      </c>
      <c r="K2" s="18">
        <f ca="1">ROUND((Table4[[#This Row],[Target Price]]-Table4[[#This Row],[Current Price]])/Table4[[#This Row],[Current Price]],2)</f>
        <v>-0.06</v>
      </c>
      <c r="L2" t="str">
        <f ca="1">IF(Table4[[#This Row],[Current Price]]&gt;=Table4[[#This Row],[Target Price]],"🎯 Trim Alert", "✅ Hold")</f>
        <v>🎯 Trim Alert</v>
      </c>
      <c r="M2" s="7">
        <v>45843</v>
      </c>
      <c r="N2" t="s">
        <v>159</v>
      </c>
    </row>
    <row r="3" spans="1:14" x14ac:dyDescent="0.25">
      <c r="A3" s="29" t="s">
        <v>127</v>
      </c>
      <c r="B3">
        <f ca="1">'Active Portfolio'!B8</f>
        <v>144.52000000000001</v>
      </c>
      <c r="C3" s="6">
        <f>'Holdings Sheet'!D12</f>
        <v>118.81238636363636</v>
      </c>
      <c r="D3">
        <f t="shared" ca="1" si="0"/>
        <v>144.52000000000001</v>
      </c>
      <c r="E3" s="6">
        <f ca="1">D3*0.915</f>
        <v>132.23580000000001</v>
      </c>
      <c r="F3" t="str">
        <f ca="1">IF(B3&lt;=E3, "Triggered Stock Option", "✅ Active")</f>
        <v>✅ Active</v>
      </c>
      <c r="G3" s="13">
        <f t="shared" ca="1" si="1"/>
        <v>8.4999999999999978E-2</v>
      </c>
      <c r="H3" t="str">
        <f t="shared" ca="1" si="2"/>
        <v xml:space="preserve"> </v>
      </c>
      <c r="J3">
        <f>ROUND(Table4[[#This Row],[Entry Price]] * 1.3, 2)</f>
        <v>154.46</v>
      </c>
      <c r="K3" s="18">
        <f ca="1">ROUND((Table4[[#This Row],[Target Price]]-Table4[[#This Row],[Current Price]])/Table4[[#This Row],[Current Price]],2)</f>
        <v>7.0000000000000007E-2</v>
      </c>
      <c r="L3" t="str">
        <f ca="1">IF(Table4[[#This Row],[Current Price]]&gt;=Table4[[#This Row],[Target Price]],"🎯 Trim Alert", "✅ Hold")</f>
        <v>✅ Hold</v>
      </c>
      <c r="M3" s="7">
        <v>45843</v>
      </c>
    </row>
    <row r="4" spans="1:14" x14ac:dyDescent="0.25">
      <c r="A4" s="29" t="s">
        <v>116</v>
      </c>
      <c r="B4">
        <f ca="1">'Active Portfolio'!B16</f>
        <v>183.58</v>
      </c>
      <c r="C4" s="6">
        <f>'Holdings Sheet'!D6</f>
        <v>153.19579861111112</v>
      </c>
      <c r="D4">
        <f t="shared" ca="1" si="0"/>
        <v>183.58</v>
      </c>
      <c r="E4" s="6">
        <f ca="1">D4*0.925</f>
        <v>169.81150000000002</v>
      </c>
      <c r="F4" t="str">
        <f ca="1">IF(B4&lt;=E4, "Triggered Stock Option", "✅ Active")</f>
        <v>✅ Active</v>
      </c>
      <c r="G4" s="13">
        <f t="shared" ca="1" si="1"/>
        <v>7.4999999999999928E-2</v>
      </c>
      <c r="H4" t="str">
        <f t="shared" ca="1" si="2"/>
        <v xml:space="preserve"> </v>
      </c>
      <c r="J4">
        <f>ROUND(Table4[[#This Row],[Entry Price]] * 1.3, 2)</f>
        <v>199.15</v>
      </c>
      <c r="K4" s="18">
        <f ca="1">ROUND((Table4[[#This Row],[Target Price]]-Table4[[#This Row],[Current Price]])/Table4[[#This Row],[Current Price]],2)</f>
        <v>0.08</v>
      </c>
      <c r="L4" t="str">
        <f ca="1">IF(Table4[[#This Row],[Current Price]]&gt;=Table4[[#This Row],[Target Price]],"🎯 Trim Alert", "✅ Hold")</f>
        <v>✅ Hold</v>
      </c>
      <c r="M4" s="7">
        <v>45843</v>
      </c>
    </row>
    <row r="5" spans="1:14" x14ac:dyDescent="0.25">
      <c r="A5" s="29" t="s">
        <v>118</v>
      </c>
      <c r="B5">
        <f ca="1">'Active Portfolio'!B18</f>
        <v>78.22</v>
      </c>
      <c r="C5" s="6">
        <f>'Holdings Sheet'!D14</f>
        <v>69.495979899497485</v>
      </c>
      <c r="D5">
        <f t="shared" ca="1" si="0"/>
        <v>78.22</v>
      </c>
      <c r="E5" s="6">
        <f ca="1">D5*0.96</f>
        <v>75.091200000000001</v>
      </c>
      <c r="F5" t="str">
        <f ca="1">IF(B5&lt;=E5, "Triggered Stop Loss", "✅ Active")</f>
        <v>✅ Active</v>
      </c>
      <c r="G5" s="13">
        <f t="shared" ca="1" si="1"/>
        <v>3.999999999999998E-2</v>
      </c>
      <c r="H5" t="str">
        <f t="shared" ca="1" si="2"/>
        <v xml:space="preserve"> </v>
      </c>
      <c r="J5">
        <f>ROUND(Table4[[#This Row],[Entry Price]] * 1.3, 2)</f>
        <v>90.34</v>
      </c>
      <c r="K5" s="18">
        <f ca="1">ROUND((Table4[[#This Row],[Target Price]]-Table4[[#This Row],[Current Price]])/Table4[[#This Row],[Current Price]],2)</f>
        <v>0.15</v>
      </c>
      <c r="L5" t="str">
        <f ca="1">IF(Table4[[#This Row],[Current Price]]&gt;=Table4[[#This Row],[Target Price]],"🎯 Trim Alert", "✅ Hold")</f>
        <v>✅ Hold</v>
      </c>
      <c r="M5" s="7">
        <v>45843</v>
      </c>
    </row>
    <row r="6" spans="1:14" x14ac:dyDescent="0.25">
      <c r="A6" s="29" t="s">
        <v>22</v>
      </c>
      <c r="B6" s="6">
        <f ca="1">'Active Portfolio'!B5</f>
        <v>193.42</v>
      </c>
      <c r="C6" s="6">
        <f>'Holdings Sheet'!D7</f>
        <v>173.90966329966329</v>
      </c>
      <c r="D6">
        <f t="shared" ca="1" si="0"/>
        <v>193.42</v>
      </c>
      <c r="E6" s="6">
        <f ca="1">D6*0.92</f>
        <v>177.94639999999998</v>
      </c>
      <c r="F6" t="str">
        <f ca="1">IF(B6&lt;=E6,"Triggered Stock Option", "✅ Active")</f>
        <v>✅ Active</v>
      </c>
      <c r="G6" s="13">
        <f t="shared" ca="1" si="1"/>
        <v>8.0000000000000029E-2</v>
      </c>
      <c r="H6" t="str">
        <f t="shared" ca="1" si="2"/>
        <v xml:space="preserve"> </v>
      </c>
      <c r="J6">
        <f>ROUND(Table4[[#This Row],[Entry Price]] * 1.3, 2)</f>
        <v>226.08</v>
      </c>
      <c r="K6" s="18">
        <f ca="1">ROUND((Table4[[#This Row],[Target Price]]-Table4[[#This Row],[Current Price]])/Table4[[#This Row],[Current Price]],2)</f>
        <v>0.17</v>
      </c>
      <c r="L6" t="str">
        <f ca="1">IF(Table4[[#This Row],[Current Price]]&gt;=Table4[[#This Row],[Target Price]],"🎯 Trim Alert", "✅ Hold")</f>
        <v>✅ Hold</v>
      </c>
      <c r="M6" s="7">
        <v>45848</v>
      </c>
    </row>
    <row r="7" spans="1:14" x14ac:dyDescent="0.25">
      <c r="A7" s="29" t="s">
        <v>97</v>
      </c>
      <c r="B7">
        <f ca="1">'Active Portfolio'!B15</f>
        <v>568.14</v>
      </c>
      <c r="C7" s="6">
        <f>'Holdings Sheet'!D15</f>
        <v>514.79999999999995</v>
      </c>
      <c r="D7">
        <f t="shared" ca="1" si="0"/>
        <v>568.14</v>
      </c>
      <c r="E7" s="6">
        <f ca="1">D7*0.95</f>
        <v>539.73299999999995</v>
      </c>
      <c r="F7" t="str">
        <f ca="1">IF(B7&lt;=E7, "Triggered Stop Loss", "✅ Active")</f>
        <v>✅ Active</v>
      </c>
      <c r="G7" s="13">
        <f t="shared" ca="1" si="1"/>
        <v>5.0000000000000072E-2</v>
      </c>
      <c r="H7" t="str">
        <f t="shared" ca="1" si="2"/>
        <v xml:space="preserve"> </v>
      </c>
      <c r="J7">
        <f>ROUND(Table4[[#This Row],[Entry Price]] * 1.3, 2)</f>
        <v>669.24</v>
      </c>
      <c r="K7" s="18">
        <f ca="1">ROUND((Table4[[#This Row],[Target Price]]-Table4[[#This Row],[Current Price]])/Table4[[#This Row],[Current Price]],2)</f>
        <v>0.18</v>
      </c>
      <c r="L7" t="str">
        <f ca="1">IF(Table4[[#This Row],[Current Price]]&gt;=Table4[[#This Row],[Target Price]],"🎯 Trim Alert", "✅ Hold")</f>
        <v>✅ Hold</v>
      </c>
      <c r="M7" s="7">
        <v>45843</v>
      </c>
    </row>
    <row r="8" spans="1:14" x14ac:dyDescent="0.25">
      <c r="A8" s="29" t="s">
        <v>28</v>
      </c>
      <c r="B8" s="6">
        <f ca="1">'Active Portfolio'!B6</f>
        <v>298.27999999999997</v>
      </c>
      <c r="C8" s="6">
        <f>'Holdings Sheet'!D9</f>
        <v>271.7551394422311</v>
      </c>
      <c r="D8" s="6">
        <f t="shared" ca="1" si="0"/>
        <v>298.27999999999997</v>
      </c>
      <c r="E8" s="6">
        <f ca="1">D8*0.939</f>
        <v>280.08491999999995</v>
      </c>
      <c r="F8" t="str">
        <f ca="1">IF(B8&lt;=E8, "Triggered Stop Loss", "✅ Active")</f>
        <v>✅ Active</v>
      </c>
      <c r="G8" s="13">
        <f t="shared" ca="1" si="1"/>
        <v>6.1000000000000068E-2</v>
      </c>
      <c r="H8" t="str">
        <f t="shared" ca="1" si="2"/>
        <v xml:space="preserve"> </v>
      </c>
      <c r="J8">
        <f>ROUND(Table4[[#This Row],[Entry Price]] * 1.3, 2)</f>
        <v>353.28</v>
      </c>
      <c r="K8" s="18">
        <f ca="1">ROUND((Table4[[#This Row],[Target Price]]-Table4[[#This Row],[Current Price]])/Table4[[#This Row],[Current Price]],2)</f>
        <v>0.18</v>
      </c>
      <c r="L8" t="str">
        <f ca="1">IF(Table4[[#This Row],[Current Price]]&gt;=Table4[[#This Row],[Target Price]],"🎯 Trim Alert", "✅ Hold")</f>
        <v>✅ Hold</v>
      </c>
      <c r="M8" s="7">
        <v>45843</v>
      </c>
    </row>
    <row r="9" spans="1:14" x14ac:dyDescent="0.25">
      <c r="A9" s="29" t="s">
        <v>89</v>
      </c>
      <c r="B9" s="6">
        <f ca="1">'Active Portfolio'!B10</f>
        <v>432.94</v>
      </c>
      <c r="C9" s="6">
        <f>'Holdings Sheet'!D5</f>
        <v>391.83646153846155</v>
      </c>
      <c r="D9">
        <f t="shared" ca="1" si="0"/>
        <v>432.94</v>
      </c>
      <c r="E9" s="6">
        <f ca="1">D9*0.971</f>
        <v>420.38473999999997</v>
      </c>
      <c r="F9" t="str">
        <f ca="1">IF(B9&lt;=E9, "Triggered Stop Loss", "✅ Active")</f>
        <v>✅ Active</v>
      </c>
      <c r="G9" s="13">
        <f t="shared" ca="1" si="1"/>
        <v>2.9000000000000074E-2</v>
      </c>
      <c r="H9" t="str">
        <f t="shared" ca="1" si="2"/>
        <v>Near Stop Zone</v>
      </c>
      <c r="J9">
        <f>ROUND(Table4[[#This Row],[Entry Price]] * 1.3, 2)</f>
        <v>509.39</v>
      </c>
      <c r="K9" s="18">
        <f ca="1">ROUND((Table4[[#This Row],[Target Price]]-Table4[[#This Row],[Current Price]])/Table4[[#This Row],[Current Price]],2)</f>
        <v>0.18</v>
      </c>
      <c r="L9" t="str">
        <f ca="1">IF(Table4[[#This Row],[Current Price]]&gt;=Table4[[#This Row],[Target Price]],"🎯 Trim Alert", "✅ Hold")</f>
        <v>✅ Hold</v>
      </c>
      <c r="M9" s="7">
        <v>45843</v>
      </c>
    </row>
    <row r="10" spans="1:14" x14ac:dyDescent="0.25">
      <c r="A10" s="29" t="s">
        <v>95</v>
      </c>
      <c r="B10">
        <f ca="1">'Active Portfolio'!B13</f>
        <v>166.22</v>
      </c>
      <c r="C10" s="6">
        <f>'Holdings Sheet'!D8</f>
        <v>154.76343195266273</v>
      </c>
      <c r="D10">
        <v>155.21</v>
      </c>
      <c r="E10" s="6">
        <f>D10*0.985</f>
        <v>152.88185000000001</v>
      </c>
      <c r="F10" t="str">
        <f ca="1">IF(B10&lt;=E10,"Triggered Stock Option", "✅ Active")</f>
        <v>✅ Active</v>
      </c>
      <c r="G10" s="13">
        <f t="shared" ca="1" si="1"/>
        <v>8.0243953796173648E-2</v>
      </c>
      <c r="H10" t="str">
        <f t="shared" ca="1" si="2"/>
        <v xml:space="preserve"> </v>
      </c>
      <c r="J10">
        <f>ROUND(Table4[[#This Row],[Entry Price]] * 1.3, 2)</f>
        <v>201.19</v>
      </c>
      <c r="K10" s="18">
        <f ca="1">ROUND((Table4[[#This Row],[Target Price]]-Table4[[#This Row],[Current Price]])/Table4[[#This Row],[Current Price]],2)</f>
        <v>0.21</v>
      </c>
      <c r="L10" t="str">
        <f ca="1">IF(Table4[[#This Row],[Current Price]]&gt;=Table4[[#This Row],[Target Price]],"🎯 Trim Alert", "✅ Hold")</f>
        <v>✅ Hold</v>
      </c>
      <c r="M10" s="7">
        <v>45843</v>
      </c>
    </row>
    <row r="11" spans="1:14" x14ac:dyDescent="0.25">
      <c r="A11" s="29" t="s">
        <v>99</v>
      </c>
      <c r="B11">
        <f ca="1">'Active Portfolio'!B14</f>
        <v>636.94000000000005</v>
      </c>
      <c r="C11" s="6">
        <f>'Holdings Sheet'!D16</f>
        <v>588.14</v>
      </c>
      <c r="D11">
        <f ca="1">B11</f>
        <v>636.94000000000005</v>
      </c>
      <c r="E11" s="6">
        <f ca="1">D11*0.9577</f>
        <v>609.9974380000001</v>
      </c>
      <c r="F11" t="str">
        <f ca="1">IF(B11&lt;=E11, "Triggered Stop Loss", "✅ Active")</f>
        <v>✅ Active</v>
      </c>
      <c r="G11" s="13">
        <f t="shared" ca="1" si="1"/>
        <v>4.2299999999999921E-2</v>
      </c>
      <c r="H11" t="str">
        <f t="shared" ca="1" si="2"/>
        <v xml:space="preserve"> </v>
      </c>
      <c r="J11">
        <f>ROUND(Table4[[#This Row],[Entry Price]] * 1.3, 2)</f>
        <v>764.58</v>
      </c>
      <c r="K11" s="18">
        <f ca="1">ROUND((Table4[[#This Row],[Target Price]]-Table4[[#This Row],[Current Price]])/Table4[[#This Row],[Current Price]],2)</f>
        <v>0.2</v>
      </c>
      <c r="L11" t="str">
        <f ca="1">IF(Table4[[#This Row],[Current Price]]&gt;=Table4[[#This Row],[Target Price]],"🎯 Trim Alert", "✅ Hold")</f>
        <v>✅ Hold</v>
      </c>
      <c r="M11" s="7">
        <v>45843</v>
      </c>
    </row>
    <row r="12" spans="1:14" x14ac:dyDescent="0.25">
      <c r="A12" s="29" t="s">
        <v>40</v>
      </c>
      <c r="B12">
        <f ca="1">'Active Portfolio'!B7</f>
        <v>69.569999999999993</v>
      </c>
      <c r="C12" s="6">
        <f>'Holdings Sheet'!D17</f>
        <v>67.399887640449421</v>
      </c>
      <c r="D12">
        <f ca="1">B12</f>
        <v>69.569999999999993</v>
      </c>
      <c r="E12" s="6">
        <f ca="1">D12*0.95</f>
        <v>66.091499999999996</v>
      </c>
      <c r="F12" t="str">
        <f ca="1">IF(B12&lt;=E12, "Triggered Stock Option", "✅ Active")</f>
        <v>✅ Active</v>
      </c>
      <c r="G12" s="13">
        <f ca="1">(B11-E11)/B11</f>
        <v>4.2299999999999921E-2</v>
      </c>
      <c r="H12" t="str">
        <f t="shared" ca="1" si="2"/>
        <v xml:space="preserve"> </v>
      </c>
      <c r="J12">
        <f>ROUND(Table4[[#This Row],[Entry Price]] * 1.3, 2)</f>
        <v>87.62</v>
      </c>
      <c r="K12" s="18">
        <f ca="1">ROUND((Table4[[#This Row],[Target Price]]-Table4[[#This Row],[Current Price]])/Table4[[#This Row],[Current Price]],2)</f>
        <v>0.26</v>
      </c>
      <c r="L12" t="str">
        <f ca="1">IF(Table4[[#This Row],[Current Price]]&gt;=Table4[[#This Row],[Target Price]],"🎯 Trim Alert", "✅ Hold")</f>
        <v>✅ Hold</v>
      </c>
      <c r="M12" s="7">
        <v>45843</v>
      </c>
    </row>
    <row r="13" spans="1:14" x14ac:dyDescent="0.25">
      <c r="A13" s="29" t="s">
        <v>91</v>
      </c>
      <c r="B13">
        <f ca="1">'Active Portfolio'!B11</f>
        <v>232.79</v>
      </c>
      <c r="C13" s="6">
        <f>'Holdings Sheet'!D4</f>
        <v>217.5140425531915</v>
      </c>
      <c r="D13">
        <f ca="1">B13</f>
        <v>232.79</v>
      </c>
      <c r="E13" s="6">
        <f ca="1">D13*0.96</f>
        <v>223.47839999999999</v>
      </c>
      <c r="F13" t="str">
        <f ca="1">IF(B13&lt;=E13, "Triggered Stock Option", "✅ Active")</f>
        <v>✅ Active</v>
      </c>
      <c r="G13" s="13">
        <f t="shared" ref="G13:G19" ca="1" si="3">(B13-E13)/B13</f>
        <v>3.9999999999999994E-2</v>
      </c>
      <c r="H13" t="str">
        <f t="shared" ca="1" si="2"/>
        <v xml:space="preserve"> </v>
      </c>
      <c r="J13">
        <f>ROUND(Table4[[#This Row],[Entry Price]] * 1.3, 2)</f>
        <v>282.77</v>
      </c>
      <c r="K13" s="18">
        <f ca="1">ROUND((Table4[[#This Row],[Target Price]]-Table4[[#This Row],[Current Price]])/Table4[[#This Row],[Current Price]],2)</f>
        <v>0.21</v>
      </c>
      <c r="L13" t="str">
        <f ca="1">IF(Table4[[#This Row],[Current Price]]&gt;=Table4[[#This Row],[Target Price]],"🎯 Trim Alert", "✅ Hold")</f>
        <v>✅ Hold</v>
      </c>
      <c r="M13" s="7">
        <v>45843</v>
      </c>
    </row>
    <row r="14" spans="1:14" x14ac:dyDescent="0.25">
      <c r="A14" s="29" t="s">
        <v>0</v>
      </c>
      <c r="B14" s="6">
        <f ca="1">'Active Portfolio'!B3</f>
        <v>1174.5999999999999</v>
      </c>
      <c r="C14" s="6">
        <f>'Holdings Sheet'!D11</f>
        <v>1028.1032653061225</v>
      </c>
      <c r="D14" s="6">
        <f ca="1">'Active Portfolio'!B3</f>
        <v>1174.5999999999999</v>
      </c>
      <c r="E14" s="6">
        <f ca="1">D14*0.93</f>
        <v>1092.3779999999999</v>
      </c>
      <c r="F14" t="str">
        <f ca="1">IF(B14&lt;=E14, "Triggered Stock Option", "✅ Active")</f>
        <v>✅ Active</v>
      </c>
      <c r="G14" s="13">
        <f t="shared" ca="1" si="3"/>
        <v>6.9999999999999993E-2</v>
      </c>
      <c r="H14" t="str">
        <f t="shared" ca="1" si="2"/>
        <v xml:space="preserve"> </v>
      </c>
      <c r="I14" t="s">
        <v>156</v>
      </c>
      <c r="J14">
        <f>ROUND(Table4[[#This Row],[Entry Price]] * 1.47, 2)</f>
        <v>1511.31</v>
      </c>
      <c r="K14" s="18">
        <f ca="1">ROUND((Table4[[#This Row],[Target Price]]-Table4[[#This Row],[Current Price]])/Table4[[#This Row],[Current Price]],2)</f>
        <v>0.28999999999999998</v>
      </c>
      <c r="L14" t="str">
        <f ca="1">IF(Table4[[#This Row],[Current Price]]&gt;=Table4[[#This Row],[Target Price]],"🎯 Trim Alert", "✅ Hold")</f>
        <v>✅ Hold</v>
      </c>
      <c r="M14" s="7">
        <v>45843</v>
      </c>
    </row>
    <row r="15" spans="1:14" x14ac:dyDescent="0.25">
      <c r="A15" s="29" t="s">
        <v>148</v>
      </c>
      <c r="B15">
        <f ca="1">'Active Portfolio'!B19</f>
        <v>218.27</v>
      </c>
      <c r="C15" s="6">
        <f>'Holdings Sheet'!D19</f>
        <v>216.99</v>
      </c>
      <c r="D15">
        <f ca="1">B15</f>
        <v>218.27</v>
      </c>
      <c r="E15" s="6">
        <f ca="1">D15*0.96</f>
        <v>209.53919999999999</v>
      </c>
      <c r="F15" t="str">
        <f ca="1">IF(B15&lt;=E15, "Triggered Stop Loss", "✅ Active")</f>
        <v>✅ Active</v>
      </c>
      <c r="G15" s="13">
        <f t="shared" ca="1" si="3"/>
        <v>4.000000000000007E-2</v>
      </c>
      <c r="H15" t="str">
        <f t="shared" ca="1" si="2"/>
        <v xml:space="preserve"> </v>
      </c>
      <c r="J15">
        <f>ROUND(Table4[[#This Row],[Entry Price]] * 1.3, 2)</f>
        <v>282.08999999999997</v>
      </c>
      <c r="K15" s="18">
        <f ca="1">ROUND((Table4[[#This Row],[Target Price]]-Table4[[#This Row],[Current Price]])/Table4[[#This Row],[Current Price]],2)</f>
        <v>0.28999999999999998</v>
      </c>
      <c r="L15" t="str">
        <f ca="1">IF(Table4[[#This Row],[Current Price]]&gt;=Table4[[#This Row],[Target Price]],"🎯 Trim Alert", "✅ Hold")</f>
        <v>✅ Hold</v>
      </c>
      <c r="M15" s="7">
        <v>45843</v>
      </c>
    </row>
    <row r="16" spans="1:14" x14ac:dyDescent="0.25">
      <c r="A16" s="29" t="s">
        <v>165</v>
      </c>
      <c r="B16">
        <f ca="1">'Active Portfolio'!B20</f>
        <v>568.28</v>
      </c>
      <c r="C16" s="6">
        <f>'Holdings Sheet'!D20</f>
        <v>557.82000000000005</v>
      </c>
      <c r="D16">
        <f ca="1">B16</f>
        <v>568.28</v>
      </c>
      <c r="E16" s="6">
        <f ca="1">D16*0.9285</f>
        <v>527.64797999999996</v>
      </c>
      <c r="F16" t="str">
        <f ca="1">IF(B16&lt;=E16,"Triggered Stock Option", "✅ Active")</f>
        <v>✅ Active</v>
      </c>
      <c r="G16" s="13">
        <f t="shared" ca="1" si="3"/>
        <v>7.1500000000000022E-2</v>
      </c>
      <c r="H16" t="str">
        <f t="shared" ca="1" si="2"/>
        <v xml:space="preserve"> </v>
      </c>
      <c r="J16">
        <f>ROUND(Table4[[#This Row],[Entry Price]] * 1.3, 2)</f>
        <v>725.17</v>
      </c>
      <c r="K16" s="18">
        <f ca="1">ROUND((Table4[[#This Row],[Target Price]]-Table4[[#This Row],[Current Price]])/Table4[[#This Row],[Current Price]],2)</f>
        <v>0.28000000000000003</v>
      </c>
      <c r="L16" t="str">
        <f ca="1">IF(Table4[[#This Row],[Current Price]]&gt;=Table4[[#This Row],[Target Price]],"🎯 Trim Alert", "✅ Hold")</f>
        <v>✅ Hold</v>
      </c>
      <c r="M16">
        <v>7212025</v>
      </c>
    </row>
    <row r="17" spans="1:13" x14ac:dyDescent="0.25">
      <c r="A17" s="29" t="s">
        <v>168</v>
      </c>
      <c r="B17">
        <f ca="1">'Active Portfolio'!B21</f>
        <v>355.47</v>
      </c>
      <c r="C17" s="6">
        <f>'Holdings Sheet'!D21</f>
        <v>353</v>
      </c>
      <c r="D17">
        <f ca="1">B17</f>
        <v>355.47</v>
      </c>
      <c r="E17" s="6">
        <f ca="1">D17*0.9285</f>
        <v>330.05389500000001</v>
      </c>
      <c r="F17" t="str">
        <f ca="1">IF(B17&lt;=E17,"Triggered Stock Option", "✅ Active")</f>
        <v>✅ Active</v>
      </c>
      <c r="G17" s="13">
        <f t="shared" ca="1" si="3"/>
        <v>7.1500000000000036E-2</v>
      </c>
      <c r="H17" t="str">
        <f t="shared" ca="1" si="2"/>
        <v xml:space="preserve"> </v>
      </c>
      <c r="J17">
        <f>ROUND(Table4[[#This Row],[Entry Price]] * 1.3, 2)</f>
        <v>458.9</v>
      </c>
      <c r="K17" s="18">
        <f ca="1">ROUND((Table4[[#This Row],[Target Price]]-Table4[[#This Row],[Current Price]])/Table4[[#This Row],[Current Price]],2)</f>
        <v>0.28999999999999998</v>
      </c>
      <c r="L17" t="str">
        <f ca="1">IF(Table4[[#This Row],[Current Price]]&gt;=Table4[[#This Row],[Target Price]],"🎯 Trim Alert", "✅ Hold")</f>
        <v>✅ Hold</v>
      </c>
      <c r="M17">
        <v>7212025</v>
      </c>
    </row>
    <row r="18" spans="1:13" x14ac:dyDescent="0.25">
      <c r="A18" s="29" t="s">
        <v>87</v>
      </c>
      <c r="B18">
        <f ca="1">'Active Portfolio'!B9</f>
        <v>111.44</v>
      </c>
      <c r="C18" s="6">
        <f>'Holdings Sheet'!D18</f>
        <v>109.70448275862068</v>
      </c>
      <c r="D18">
        <f ca="1">B18</f>
        <v>111.44</v>
      </c>
      <c r="E18" s="6">
        <f ca="1">D18*0.957</f>
        <v>106.64807999999999</v>
      </c>
      <c r="F18" t="str">
        <f ca="1">IF(B18&lt;=E18, "Triggered Stock Option", "✅ Active")</f>
        <v>✅ Active</v>
      </c>
      <c r="G18" s="13">
        <f t="shared" ca="1" si="3"/>
        <v>4.3000000000000045E-2</v>
      </c>
      <c r="H18" t="str">
        <f t="shared" ca="1" si="2"/>
        <v xml:space="preserve"> </v>
      </c>
      <c r="J18">
        <f>ROUND(Table4[[#This Row],[Entry Price]] * 1.3, 2)</f>
        <v>142.62</v>
      </c>
      <c r="K18" s="18">
        <f ca="1">ROUND((Table4[[#This Row],[Target Price]]-Table4[[#This Row],[Current Price]])/Table4[[#This Row],[Current Price]],2)</f>
        <v>0.28000000000000003</v>
      </c>
      <c r="L18" t="str">
        <f ca="1">IF(Table4[[#This Row],[Current Price]]&gt;=Table4[[#This Row],[Target Price]],"🎯 Trim Alert", "✅ Hold")</f>
        <v>✅ Hold</v>
      </c>
      <c r="M18" s="7">
        <v>45843</v>
      </c>
    </row>
    <row r="19" spans="1:13" x14ac:dyDescent="0.25">
      <c r="A19" s="29" t="s">
        <v>117</v>
      </c>
      <c r="B19">
        <f ca="1">'Active Portfolio'!B17</f>
        <v>228.48</v>
      </c>
      <c r="C19" s="6">
        <f>'Holdings Sheet'!D10</f>
        <v>225.86050847457625</v>
      </c>
      <c r="D19">
        <f ca="1">B19</f>
        <v>228.48</v>
      </c>
      <c r="E19" s="6">
        <f ca="1">D19*0.95</f>
        <v>217.05599999999998</v>
      </c>
      <c r="F19" t="str">
        <f ca="1">IF(B19&lt;=E19, "Triggered Stop Loss", "✅ Active")</f>
        <v>✅ Active</v>
      </c>
      <c r="G19" s="13">
        <f t="shared" ca="1" si="3"/>
        <v>5.0000000000000031E-2</v>
      </c>
      <c r="H19" t="str">
        <f t="shared" ca="1" si="2"/>
        <v xml:space="preserve"> </v>
      </c>
      <c r="I19" t="s">
        <v>170</v>
      </c>
      <c r="J19">
        <f>ROUND(Table4[[#This Row],[Entry Price]] * 1.3, 2)</f>
        <v>293.62</v>
      </c>
      <c r="K19" s="18">
        <f ca="1">ROUND((Table4[[#This Row],[Target Price]]-Table4[[#This Row],[Current Price]])/Table4[[#This Row],[Current Price]],2)</f>
        <v>0.28999999999999998</v>
      </c>
      <c r="L19" t="str">
        <f ca="1">IF(Table4[[#This Row],[Current Price]]&gt;=Table4[[#This Row],[Target Price]],"🎯 Trim Alert", "✅ Hold")</f>
        <v>✅ Hold</v>
      </c>
      <c r="M19" s="7">
        <v>45843</v>
      </c>
    </row>
  </sheetData>
  <sortState xmlns:xlrd2="http://schemas.microsoft.com/office/spreadsheetml/2017/richdata2" ref="A2:L16">
    <sortCondition ref="A2:A16"/>
  </sortState>
  <conditionalFormatting sqref="F2:F19">
    <cfRule type="cellIs" dxfId="20" priority="3" operator="equal">
      <formula>"✅ Active"</formula>
    </cfRule>
  </conditionalFormatting>
  <conditionalFormatting sqref="G2:G19">
    <cfRule type="cellIs" dxfId="19" priority="1" operator="greaterThan">
      <formula>0.05</formula>
    </cfRule>
    <cfRule type="cellIs" dxfId="18" priority="2" operator="lessThan">
      <formula>0.03</formula>
    </cfRule>
  </conditionalFormatting>
  <conditionalFormatting sqref="K2">
    <cfRule type="expression" dxfId="17" priority="4">
      <formula>AND($K$2&gt;=0.03, $K$2&lt;=0.05)</formula>
    </cfRule>
  </conditionalFormatting>
  <conditionalFormatting sqref="K2:K19">
    <cfRule type="cellIs" dxfId="16" priority="19" operator="lessThan">
      <formula>0</formula>
    </cfRule>
    <cfRule type="cellIs" dxfId="15" priority="35" operator="lessThan">
      <formula>0.03</formula>
    </cfRule>
  </conditionalFormatting>
  <conditionalFormatting sqref="K3">
    <cfRule type="expression" dxfId="14" priority="5">
      <formula>AND($K$3&gt;=0.03, $K$3&lt;=0.05)</formula>
    </cfRule>
  </conditionalFormatting>
  <conditionalFormatting sqref="K4">
    <cfRule type="expression" dxfId="13" priority="6">
      <formula>AND($K$4&gt;=0.03, $K$4&lt;=0.05)</formula>
    </cfRule>
  </conditionalFormatting>
  <conditionalFormatting sqref="K5">
    <cfRule type="expression" dxfId="12" priority="7">
      <formula>AND($K$5&gt;=0.03, $K$5&lt;=0.05)</formula>
    </cfRule>
  </conditionalFormatting>
  <conditionalFormatting sqref="K6">
    <cfRule type="expression" dxfId="11" priority="8">
      <formula>AND($K$6&gt;=0.03, $K$6&lt;=0.05)</formula>
    </cfRule>
  </conditionalFormatting>
  <conditionalFormatting sqref="K7">
    <cfRule type="expression" dxfId="10" priority="9">
      <formula>AND($K$7&gt;=0.03, $K$7&lt;=0.05)</formula>
    </cfRule>
  </conditionalFormatting>
  <conditionalFormatting sqref="K8">
    <cfRule type="expression" dxfId="9" priority="10">
      <formula>AND($K$8&gt;=0.03, $K$8&lt;=0.05)</formula>
    </cfRule>
  </conditionalFormatting>
  <conditionalFormatting sqref="K9">
    <cfRule type="expression" dxfId="8" priority="11">
      <formula>AND($K$9&gt;=0.03, $K$9&lt;=0.05)</formula>
    </cfRule>
  </conditionalFormatting>
  <conditionalFormatting sqref="K10">
    <cfRule type="expression" dxfId="7" priority="12">
      <formula>AND($K$10&gt;=0.03, $K$10&lt;=0.05)</formula>
    </cfRule>
  </conditionalFormatting>
  <conditionalFormatting sqref="K11">
    <cfRule type="expression" dxfId="6" priority="13">
      <formula>AND($K$11&gt;=0.03, $K$11&lt;=0.05)</formula>
    </cfRule>
  </conditionalFormatting>
  <conditionalFormatting sqref="K12">
    <cfRule type="expression" dxfId="5" priority="14">
      <formula>AND($K$12&gt;=0.03, $K$12&lt;=0.05)</formula>
    </cfRule>
  </conditionalFormatting>
  <conditionalFormatting sqref="K13">
    <cfRule type="expression" dxfId="4" priority="15">
      <formula>AND($K$13&gt;=0.03, $K$13&lt;=0.05)</formula>
    </cfRule>
  </conditionalFormatting>
  <conditionalFormatting sqref="K14">
    <cfRule type="expression" dxfId="3" priority="16">
      <formula>AND($K$14&gt;=0.03, $K$14&lt;=0.05)</formula>
    </cfRule>
  </conditionalFormatting>
  <conditionalFormatting sqref="K15">
    <cfRule type="expression" dxfId="2" priority="17">
      <formula>AND($K$15&gt;=0.03, $K$15&lt;=0.05)</formula>
    </cfRule>
  </conditionalFormatting>
  <conditionalFormatting sqref="K15:K17">
    <cfRule type="expression" dxfId="1" priority="18">
      <formula>AND($K$17&gt;=0.03, $K$17&lt;=0.05)</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AA12-C809-4E31-8B05-75FA093ECD57}">
  <dimension ref="A1:I21"/>
  <sheetViews>
    <sheetView workbookViewId="0">
      <pane ySplit="1" topLeftCell="A2" activePane="bottomLeft" state="frozen"/>
      <selection pane="bottomLeft" activeCell="I3" sqref="I3"/>
    </sheetView>
  </sheetViews>
  <sheetFormatPr defaultRowHeight="15" x14ac:dyDescent="0.25"/>
  <cols>
    <col min="1" max="1" width="23.5703125" customWidth="1"/>
    <col min="2" max="2" width="21" customWidth="1"/>
    <col min="4" max="4" width="26.42578125" customWidth="1"/>
    <col min="5" max="7" width="10" bestFit="1" customWidth="1"/>
    <col min="8" max="8" width="7.140625" customWidth="1"/>
    <col min="9" max="9" width="34.42578125" customWidth="1"/>
  </cols>
  <sheetData>
    <row r="1" spans="1:9" x14ac:dyDescent="0.25">
      <c r="A1" s="36"/>
      <c r="B1" s="36"/>
      <c r="C1" s="36"/>
      <c r="D1" s="37" t="s">
        <v>136</v>
      </c>
      <c r="E1" s="38" t="s">
        <v>136</v>
      </c>
      <c r="F1" s="38" t="s">
        <v>138</v>
      </c>
      <c r="G1" s="38" t="s">
        <v>140</v>
      </c>
      <c r="H1" s="38" t="s">
        <v>142</v>
      </c>
      <c r="I1" s="38" t="s">
        <v>144</v>
      </c>
    </row>
    <row r="2" spans="1:9" x14ac:dyDescent="0.25">
      <c r="A2" s="36" t="s">
        <v>48</v>
      </c>
      <c r="B2" s="36" t="s">
        <v>11</v>
      </c>
      <c r="C2" s="36"/>
      <c r="D2" s="37" t="s">
        <v>48</v>
      </c>
      <c r="E2" s="38" t="s">
        <v>137</v>
      </c>
      <c r="F2" s="38" t="s">
        <v>139</v>
      </c>
      <c r="G2" s="38" t="s">
        <v>141</v>
      </c>
      <c r="H2" s="38" t="s">
        <v>143</v>
      </c>
      <c r="I2" s="38" t="s">
        <v>143</v>
      </c>
    </row>
    <row r="3" spans="1:9" ht="34.5" customHeight="1" x14ac:dyDescent="0.25">
      <c r="A3" s="47" t="str">
        <f>Table2[[#This Row],[Sector]]</f>
        <v>Technology</v>
      </c>
      <c r="B3" s="6">
        <f ca="1">'Holdings Sheet'!F3</f>
        <v>31465.350000000002</v>
      </c>
      <c r="D3" s="3" t="s">
        <v>49</v>
      </c>
      <c r="E3">
        <f ca="1">SUMIF($A$3:$A$19, D3, $B$3:$B$19)</f>
        <v>57555.399999999994</v>
      </c>
      <c r="F3">
        <f>SUMIFS('Holdings Sheet'!$H$3:$H$21, 'Holdings Sheet'!$B$3:$B$21, D3)</f>
        <v>50377.06</v>
      </c>
      <c r="G3">
        <f t="shared" ref="G3:G13" ca="1" si="0">E3-F3</f>
        <v>7178.3399999999965</v>
      </c>
      <c r="H3" s="13">
        <f t="shared" ref="H3:H9" ca="1" si="1">(E3-F3)/F3</f>
        <v>0.14249223753827628</v>
      </c>
      <c r="I3" s="40" t="str">
        <f ca="1">D3 &amp; CHAR(10) &amp; TEXT(H3,"0.0%")</f>
        <v>Communication Service
14.2%</v>
      </c>
    </row>
    <row r="4" spans="1:9" ht="30" x14ac:dyDescent="0.25">
      <c r="A4" s="46" t="str">
        <f>Table2[[#This Row],[Sector]]</f>
        <v>Technology</v>
      </c>
      <c r="B4" s="6">
        <f ca="1">Table2[[#This Row],[Market Value]]</f>
        <v>32823.39</v>
      </c>
      <c r="D4" s="3" t="s">
        <v>50</v>
      </c>
      <c r="E4">
        <f ca="1">SUMIF($A$3:$A$19, D4, $B$3:$B$19)</f>
        <v>168926.73</v>
      </c>
      <c r="F4">
        <f>SUMIFS('Holdings Sheet'!$H$3:$H$21, 'Holdings Sheet'!$B$3:$B$21, D4)</f>
        <v>145225.66</v>
      </c>
      <c r="G4">
        <f t="shared" ca="1" si="0"/>
        <v>23701.070000000007</v>
      </c>
      <c r="H4" s="13">
        <f t="shared" ca="1" si="1"/>
        <v>0.16320166835530309</v>
      </c>
      <c r="I4" s="39" t="str">
        <f t="shared" ref="I4:I11" ca="1" si="2">D4 &amp; CHAR(10) &amp; TEXT(H4,"0.0%")</f>
        <v>Technology
16.3%</v>
      </c>
    </row>
    <row r="5" spans="1:9" ht="30" x14ac:dyDescent="0.25">
      <c r="A5" s="46" t="str">
        <f>Table2[[#This Row],[Sector]]</f>
        <v>Industrials</v>
      </c>
      <c r="B5" s="6">
        <f ca="1">Table2[[#This Row],[Market Value]]</f>
        <v>28141.1</v>
      </c>
      <c r="D5" s="3" t="s">
        <v>121</v>
      </c>
      <c r="E5">
        <f t="shared" ref="E5:E11" ca="1" si="3">SUMIF($A$3:$A$19, D5, $B$3:$B$19)</f>
        <v>15565.78</v>
      </c>
      <c r="F5">
        <f>SUMIFS('Holdings Sheet'!$H$3:$H$21, 'Holdings Sheet'!$B$3:$B$21, D5)</f>
        <v>13829.699999999999</v>
      </c>
      <c r="G5">
        <f t="shared" ca="1" si="0"/>
        <v>1736.0800000000017</v>
      </c>
      <c r="H5" s="13">
        <f t="shared" ca="1" si="1"/>
        <v>0.12553273028337578</v>
      </c>
      <c r="I5" s="39" t="str">
        <f t="shared" ca="1" si="2"/>
        <v>Financial Technology
12.6%</v>
      </c>
    </row>
    <row r="6" spans="1:9" ht="30" x14ac:dyDescent="0.25">
      <c r="A6" s="46" t="str">
        <f>Table2[[#This Row],[Sector]]</f>
        <v>Industrials</v>
      </c>
      <c r="B6" s="6">
        <f ca="1">Table2[[#This Row],[Market Value]]</f>
        <v>52871.040000000001</v>
      </c>
      <c r="D6" s="3" t="s">
        <v>102</v>
      </c>
      <c r="E6">
        <f t="shared" ca="1" si="3"/>
        <v>81012.14</v>
      </c>
      <c r="F6">
        <f>SUMIFS('Holdings Sheet'!$H$3:$H$21, 'Holdings Sheet'!$B$3:$B$21, D6)</f>
        <v>69589.759999999995</v>
      </c>
      <c r="G6">
        <f t="shared" ca="1" si="0"/>
        <v>11422.380000000005</v>
      </c>
      <c r="H6" s="13">
        <f t="shared" ca="1" si="1"/>
        <v>0.16413880432983252</v>
      </c>
      <c r="I6" s="39" t="str">
        <f t="shared" ca="1" si="2"/>
        <v>Industrials
16.4%</v>
      </c>
    </row>
    <row r="7" spans="1:9" ht="30" x14ac:dyDescent="0.25">
      <c r="A7" s="46" t="str">
        <f>Table2[[#This Row],[Sector]]</f>
        <v>Technology</v>
      </c>
      <c r="B7" s="6">
        <f ca="1">Table2[[#This Row],[Market Value]]</f>
        <v>57445.74</v>
      </c>
      <c r="D7" s="3" t="s">
        <v>53</v>
      </c>
      <c r="E7">
        <f t="shared" ca="1" si="3"/>
        <v>105259.40999999999</v>
      </c>
      <c r="F7">
        <f>SUMIFS('Holdings Sheet'!$H$3:$H$21, 'Holdings Sheet'!$B$3:$B$21, D7)</f>
        <v>101976.02999999997</v>
      </c>
      <c r="G7">
        <f t="shared" ca="1" si="0"/>
        <v>3283.3800000000192</v>
      </c>
      <c r="H7" s="13">
        <f t="shared" ca="1" si="1"/>
        <v>3.2197566428110801E-2</v>
      </c>
      <c r="I7" s="39" t="str">
        <f t="shared" ca="1" si="2"/>
        <v>International ETF 
3.2%</v>
      </c>
    </row>
    <row r="8" spans="1:9" ht="30" x14ac:dyDescent="0.25">
      <c r="A8" s="46" t="str">
        <f>Table2[[#This Row],[Sector]]</f>
        <v>Health Care</v>
      </c>
      <c r="B8" s="6">
        <f ca="1">Table2[[#This Row],[Market Value]]</f>
        <v>28091.18</v>
      </c>
      <c r="D8" s="3" t="s">
        <v>103</v>
      </c>
      <c r="E8">
        <f t="shared" ca="1" si="3"/>
        <v>28091.18</v>
      </c>
      <c r="F8">
        <f>SUMIFS('Holdings Sheet'!$H$3:$H$21, 'Holdings Sheet'!$B$3:$B$21, D8)</f>
        <v>26155.02</v>
      </c>
      <c r="G8">
        <f t="shared" ca="1" si="0"/>
        <v>1936.1599999999999</v>
      </c>
      <c r="H8" s="13">
        <f t="shared" ca="1" si="1"/>
        <v>7.4026324583196648E-2</v>
      </c>
      <c r="I8" s="39" t="str">
        <f t="shared" ca="1" si="2"/>
        <v>Health Care
7.4%</v>
      </c>
    </row>
    <row r="9" spans="1:9" ht="30" x14ac:dyDescent="0.25">
      <c r="A9" s="46" t="str">
        <f>Table2[[#This Row],[Sector]]</f>
        <v>Financials</v>
      </c>
      <c r="B9" s="6">
        <f ca="1">Table2[[#This Row],[Market Value]]</f>
        <v>74868.28</v>
      </c>
      <c r="D9" s="3" t="s">
        <v>51</v>
      </c>
      <c r="E9">
        <f ca="1">SUMIF($A$3:$A$21, D9, $B$3:$B$21)</f>
        <v>97608.920000000013</v>
      </c>
      <c r="F9">
        <f>SUMIFS('Holdings Sheet'!$H$3:$H$21, 'Holdings Sheet'!$B$3:$B$21, D9)</f>
        <v>90662.94</v>
      </c>
      <c r="G9">
        <f t="shared" ca="1" si="0"/>
        <v>6945.9800000000105</v>
      </c>
      <c r="H9" s="13">
        <f t="shared" ca="1" si="1"/>
        <v>7.6613222558192029E-2</v>
      </c>
      <c r="I9" s="39" t="str">
        <f t="shared" ca="1" si="2"/>
        <v>Financials
7.7%</v>
      </c>
    </row>
    <row r="10" spans="1:9" ht="30" x14ac:dyDescent="0.25">
      <c r="A10" s="46" t="str">
        <f>Table2[[#This Row],[Sector]]</f>
        <v>Energy</v>
      </c>
      <c r="B10" s="6">
        <f ca="1">Table2[[#This Row],[Market Value]]</f>
        <v>53921.279999999999</v>
      </c>
      <c r="D10" s="3" t="s">
        <v>101</v>
      </c>
      <c r="E10">
        <f t="shared" ca="1" si="3"/>
        <v>73311.839999999997</v>
      </c>
      <c r="F10">
        <f>SUMIFS('Holdings Sheet'!$H$3:$H$21, 'Holdings Sheet'!$B$3:$B$21, D10)</f>
        <v>72391.659999999989</v>
      </c>
      <c r="G10">
        <f t="shared" ca="1" si="0"/>
        <v>920.18000000000757</v>
      </c>
      <c r="H10" s="13">
        <f ca="1">IF(F10=0,0,(E10-F10)/F10)</f>
        <v>1.2711132746507094E-2</v>
      </c>
      <c r="I10" s="39" t="str">
        <f t="shared" ca="1" si="2"/>
        <v>Energy
1.3%</v>
      </c>
    </row>
    <row r="11" spans="1:9" ht="35.25" customHeight="1" x14ac:dyDescent="0.25">
      <c r="A11" s="46" t="str">
        <f>Table2[[#This Row],[Sector]]</f>
        <v>Communication Service</v>
      </c>
      <c r="B11" s="6">
        <f ca="1">Table2[[#This Row],[Market Value]]</f>
        <v>57555.399999999994</v>
      </c>
      <c r="D11" s="3" t="s">
        <v>52</v>
      </c>
      <c r="E11">
        <f t="shared" ca="1" si="3"/>
        <v>41471.300000000003</v>
      </c>
      <c r="F11">
        <f>SUMIFS('Holdings Sheet'!$H$3:$H$21, 'Holdings Sheet'!$B$3:$B$21, D11)</f>
        <v>41228.1</v>
      </c>
      <c r="G11">
        <f t="shared" ca="1" si="0"/>
        <v>243.20000000000437</v>
      </c>
      <c r="H11" s="13">
        <f ca="1">(E11-F11)/F11</f>
        <v>5.8988893497397251E-3</v>
      </c>
      <c r="I11" s="39" t="str">
        <f t="shared" ca="1" si="2"/>
        <v>Consumer Staples
0.6%</v>
      </c>
    </row>
    <row r="12" spans="1:9" ht="33.75" customHeight="1" x14ac:dyDescent="0.25">
      <c r="A12" s="46" t="str">
        <f>Table2[[#This Row],[Sector]]</f>
        <v>Materials</v>
      </c>
      <c r="B12" s="6">
        <f ca="1">Table2[[#This Row],[Market Value]]</f>
        <v>12717.76</v>
      </c>
      <c r="D12" s="3" t="str">
        <f>A15</f>
        <v xml:space="preserve">Tech Heavy ETF </v>
      </c>
      <c r="E12">
        <f ca="1">SUMIF($A$3:$A$19, D12, $B$3:$B$19)</f>
        <v>53405.159999999996</v>
      </c>
      <c r="F12">
        <f>SUMIFS('Holdings Sheet'!$H$3:$H$21, 'Holdings Sheet'!$B$3:$B$21, D12)</f>
        <v>48391.199999999997</v>
      </c>
      <c r="G12">
        <f t="shared" ca="1" si="0"/>
        <v>5013.9599999999991</v>
      </c>
      <c r="H12" s="13">
        <f ca="1">(E12-F12)/F12</f>
        <v>0.1036130536130536</v>
      </c>
      <c r="I12" s="39" t="str">
        <f ca="1">D12 &amp; CHAR(10) &amp; TEXT(H12, "0.00%")</f>
        <v>Tech Heavy ETF 
10.36%</v>
      </c>
    </row>
    <row r="13" spans="1:9" ht="33.75" customHeight="1" x14ac:dyDescent="0.25">
      <c r="A13" s="46" t="str">
        <f>Table2[[#This Row],[Sector]]</f>
        <v>Technology</v>
      </c>
      <c r="B13" s="6">
        <f ca="1">Table2[[#This Row],[Market Value]]</f>
        <v>47192.25</v>
      </c>
      <c r="D13" s="3" t="str">
        <f>A16</f>
        <v xml:space="preserve">Diversified ETF </v>
      </c>
      <c r="E13">
        <f ca="1">SUMIF($A$3:$A$19, D13, $B$3:$B$19)</f>
        <v>19745.140000000003</v>
      </c>
      <c r="F13">
        <f>SUMIFS('Holdings Sheet'!$H$3:$H$21, 'Holdings Sheet'!$B$3:$B$21, D13)</f>
        <v>18232.34</v>
      </c>
      <c r="G13">
        <f t="shared" ca="1" si="0"/>
        <v>1512.8000000000029</v>
      </c>
      <c r="H13" s="13">
        <f ca="1">(E13-F13)/F13</f>
        <v>8.2973441697555161E-2</v>
      </c>
      <c r="I13" s="39" t="str">
        <f ca="1">D13 &amp; CHAR(10) &amp; TEXT(H13, "0.00%")</f>
        <v>Diversified ETF 
8.30%</v>
      </c>
    </row>
    <row r="14" spans="1:9" x14ac:dyDescent="0.25">
      <c r="A14" s="46" t="str">
        <f>Table2[[#This Row],[Sector]]</f>
        <v>Financial Technology</v>
      </c>
      <c r="B14" s="6">
        <f ca="1">Table2[[#This Row],[Market Value]]</f>
        <v>15565.78</v>
      </c>
    </row>
    <row r="15" spans="1:9" x14ac:dyDescent="0.25">
      <c r="A15" s="46" t="str">
        <f>Table2[[#This Row],[Sector]]</f>
        <v xml:space="preserve">Tech Heavy ETF </v>
      </c>
      <c r="B15" s="6">
        <f ca="1">Table2[[#This Row],[Market Value]]</f>
        <v>53405.159999999996</v>
      </c>
    </row>
    <row r="16" spans="1:9" x14ac:dyDescent="0.25">
      <c r="A16" s="46" t="str">
        <f>Table2[[#This Row],[Sector]]</f>
        <v xml:space="preserve">Diversified ETF </v>
      </c>
      <c r="B16" s="6">
        <f ca="1">Table2[[#This Row],[Market Value]]</f>
        <v>19745.140000000003</v>
      </c>
    </row>
    <row r="17" spans="1:2" x14ac:dyDescent="0.25">
      <c r="A17" s="46" t="str">
        <f>Table2[[#This Row],[Sector]]</f>
        <v xml:space="preserve">International ETF </v>
      </c>
      <c r="B17" s="6">
        <f ca="1">Table2[[#This Row],[Market Value]]</f>
        <v>105259.40999999999</v>
      </c>
    </row>
    <row r="18" spans="1:2" x14ac:dyDescent="0.25">
      <c r="A18" s="46" t="str">
        <f>Table2[[#This Row],[Sector]]</f>
        <v>Energy</v>
      </c>
      <c r="B18" s="6">
        <f ca="1">Table2[[#This Row],[Market Value]]</f>
        <v>19390.560000000001</v>
      </c>
    </row>
    <row r="19" spans="1:2" x14ac:dyDescent="0.25">
      <c r="A19" s="46" t="str">
        <f>Table2[[#This Row],[Sector]]</f>
        <v>Consumer Staples</v>
      </c>
      <c r="B19" s="6">
        <f ca="1">Table2[[#This Row],[Market Value]]</f>
        <v>41471.300000000003</v>
      </c>
    </row>
    <row r="20" spans="1:2" x14ac:dyDescent="0.25">
      <c r="A20" s="46" t="str">
        <f>Table2[[#This Row],[Sector]]</f>
        <v>Financials</v>
      </c>
      <c r="B20" s="6">
        <f ca="1">Table2[[#This Row],[Market Value]]</f>
        <v>11365.599999999999</v>
      </c>
    </row>
    <row r="21" spans="1:2" x14ac:dyDescent="0.25">
      <c r="A21" s="46" t="str">
        <f>Table2[[#This Row],[Sector]]</f>
        <v>Financials</v>
      </c>
      <c r="B21" s="6">
        <f ca="1">Table2[[#This Row],[Market Value]]</f>
        <v>11375.04</v>
      </c>
    </row>
  </sheetData>
  <autoFilter ref="A2:A20" xr:uid="{05BBAA12-C809-4E31-8B05-75FA093ECD57}"/>
  <sortState xmlns:xlrd2="http://schemas.microsoft.com/office/spreadsheetml/2017/richdata2" ref="D3:I11">
    <sortCondition descending="1" ref="H3:H1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99A9-2006-45FF-AB57-9505C7B2429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37B438-8589-42B9-806B-DD92CC619F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Charts</vt:lpstr>
      </vt:variant>
      <vt:variant>
        <vt:i4>2</vt:i4>
      </vt:variant>
    </vt:vector>
  </HeadingPairs>
  <TitlesOfParts>
    <vt:vector size="11" baseType="lpstr">
      <vt:lpstr>Performance Dashboard</vt:lpstr>
      <vt:lpstr>Summary Dashboard</vt:lpstr>
      <vt:lpstr>Active Portfolio</vt:lpstr>
      <vt:lpstr>Rebalance Sheet</vt:lpstr>
      <vt:lpstr>Holdings Sheet</vt:lpstr>
      <vt:lpstr>Transaction Sheet</vt:lpstr>
      <vt:lpstr>Stop Loss &amp; Price Alert</vt:lpstr>
      <vt:lpstr>Sectors Numbers</vt:lpstr>
      <vt:lpstr>Sheet1</vt:lpstr>
      <vt:lpstr>Sector Allocations</vt:lpstr>
      <vt:lpstr>Returns by Sector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Sanchez, Martin</dc:creator>
  <cp:lastModifiedBy>Sanchez, Martin</cp:lastModifiedBy>
  <cp:lastPrinted>2025-07-17T21:40:37Z</cp:lastPrinted>
  <dcterms:created xsi:type="dcterms:W3CDTF">2025-05-14T19:36:33Z</dcterms:created>
  <dcterms:modified xsi:type="dcterms:W3CDTF">2025-07-29T01:18:26Z</dcterms:modified>
</cp:coreProperties>
</file>